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"/>
    </mc:Choice>
  </mc:AlternateContent>
  <xr:revisionPtr revIDLastSave="369" documentId="8_{9BF04A69-4985-425F-A60E-410698EC9913}" xr6:coauthVersionLast="47" xr6:coauthVersionMax="47" xr10:uidLastSave="{C919802A-42C8-4825-8462-C852323B9732}"/>
  <bookViews>
    <workbookView xWindow="-57720" yWindow="750" windowWidth="29040" windowHeight="15720" xr2:uid="{2923B22B-957A-4C01-9BE6-B7BCC6DA9E23}"/>
  </bookViews>
  <sheets>
    <sheet name="2025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3" i="1"/>
  <c r="AB4" i="1" l="1"/>
  <c r="AC4" i="1"/>
  <c r="AD4" i="1"/>
  <c r="AE4" i="1"/>
  <c r="AF4" i="1"/>
  <c r="AG4" i="1"/>
  <c r="AH4" i="1"/>
  <c r="AB5" i="1"/>
  <c r="AC5" i="1"/>
  <c r="AD5" i="1"/>
  <c r="AE5" i="1"/>
  <c r="AF5" i="1"/>
  <c r="AG5" i="1"/>
  <c r="AH5" i="1"/>
  <c r="AB6" i="1"/>
  <c r="AC6" i="1"/>
  <c r="AD6" i="1"/>
  <c r="AE6" i="1"/>
  <c r="AF6" i="1"/>
  <c r="AG6" i="1"/>
  <c r="AH6" i="1"/>
  <c r="AB7" i="1"/>
  <c r="AC7" i="1"/>
  <c r="AD7" i="1"/>
  <c r="AE7" i="1"/>
  <c r="AF7" i="1"/>
  <c r="AG7" i="1"/>
  <c r="AH7" i="1"/>
  <c r="AB8" i="1"/>
  <c r="AC8" i="1"/>
  <c r="AD8" i="1"/>
  <c r="AE8" i="1"/>
  <c r="AF8" i="1"/>
  <c r="AG8" i="1"/>
  <c r="AH8" i="1"/>
  <c r="AB9" i="1"/>
  <c r="AC9" i="1"/>
  <c r="AD9" i="1"/>
  <c r="AE9" i="1"/>
  <c r="AF9" i="1"/>
  <c r="AG9" i="1"/>
  <c r="AH9" i="1"/>
  <c r="AB10" i="1"/>
  <c r="AC10" i="1"/>
  <c r="AD10" i="1"/>
  <c r="AE10" i="1"/>
  <c r="AF10" i="1"/>
  <c r="AG10" i="1"/>
  <c r="AH10" i="1"/>
  <c r="AB11" i="1"/>
  <c r="AC11" i="1"/>
  <c r="AD11" i="1"/>
  <c r="AE11" i="1"/>
  <c r="AF11" i="1"/>
  <c r="AG11" i="1"/>
  <c r="AH11" i="1"/>
  <c r="AB12" i="1"/>
  <c r="AC12" i="1"/>
  <c r="AD12" i="1"/>
  <c r="AE12" i="1"/>
  <c r="AF12" i="1"/>
  <c r="AG12" i="1"/>
  <c r="AH12" i="1"/>
  <c r="AB13" i="1"/>
  <c r="AC13" i="1"/>
  <c r="AD13" i="1"/>
  <c r="AE13" i="1"/>
  <c r="AF13" i="1"/>
  <c r="AG13" i="1"/>
  <c r="AH13" i="1"/>
  <c r="AB14" i="1"/>
  <c r="AC14" i="1"/>
  <c r="AD14" i="1"/>
  <c r="AE14" i="1"/>
  <c r="AF14" i="1"/>
  <c r="AG14" i="1"/>
  <c r="AH14" i="1"/>
  <c r="AA14" i="1"/>
  <c r="AA13" i="1"/>
  <c r="AA12" i="1"/>
  <c r="AA11" i="1"/>
  <c r="AA10" i="1"/>
  <c r="AA9" i="1"/>
  <c r="AA8" i="1"/>
  <c r="AA7" i="1"/>
  <c r="AA6" i="1"/>
  <c r="AA5" i="1"/>
  <c r="AA4" i="1"/>
  <c r="W3" i="1" l="1" a="1"/>
  <c r="W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<sst xmlns="http://schemas.openxmlformats.org/spreadsheetml/2006/main" count="84" uniqueCount="31">
  <si>
    <t>PIC Réalisé</t>
  </si>
  <si>
    <t>PIC Prévu</t>
  </si>
  <si>
    <t>START</t>
  </si>
  <si>
    <t>MOUSSE</t>
  </si>
  <si>
    <t>TEXLINE</t>
  </si>
  <si>
    <t>PRIMETEX</t>
  </si>
  <si>
    <t>NERA</t>
  </si>
  <si>
    <t>TMAX</t>
  </si>
  <si>
    <t>SPORISOL</t>
  </si>
  <si>
    <t>TARABUS</t>
  </si>
  <si>
    <t xml:space="preserve">Ruptures : </t>
  </si>
  <si>
    <t>Taux d'adhérence S-1 :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</si>
  <si>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</si>
  <si>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</si>
  <si>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</si>
  <si>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</si>
  <si>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</si>
  <si>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</si>
  <si>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</si>
  <si>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</si>
  <si>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</si>
  <si>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</si>
  <si>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</si>
  <si>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</si>
  <si>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Taux d'adhérence</t>
  </si>
  <si>
    <t>Objectif</t>
  </si>
  <si>
    <t>CAMPAGNE A VENIR</t>
  </si>
  <si>
    <t>Boutic / Oki</t>
  </si>
  <si>
    <t>1 mois</t>
  </si>
  <si>
    <t>Vu avec SC</t>
  </si>
  <si>
    <t>En-cours Visitage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</si>
</sst>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9" fontId="0" fillId="0" borderId="0" xfId="0" applyNumberFormat="1"/>
    <xf numFmtId="9" fontId="5" fillId="2" borderId="1" xfId="3" applyNumberFormat="1" applyFont="1" applyFill="1" applyBorder="1" applyAlignment="1">
      <alignment horizontal="center" vertical="center" wrapText="1"/>
    </xf>
    <xf numFmtId="9" fontId="5" fillId="0" borderId="9" xfId="2" applyFont="1" applyBorder="1" applyAlignment="1">
      <alignment horizontal="center" vertical="center"/>
    </xf>
    <xf numFmtId="9" fontId="5" fillId="0" borderId="7" xfId="2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9" fontId="0" fillId="0" borderId="0" xfId="1" applyFont="1"/>
    <xf numFmtId="9" fontId="5" fillId="2" borderId="1" xfId="1" applyFont="1" applyFill="1" applyBorder="1" applyAlignment="1">
      <alignment horizontal="center" vertical="center" wrapText="1"/>
    </xf>
    <xf numFmtId="9" fontId="5" fillId="0" borderId="9" xfId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1" fontId="1" fillId="0" borderId="4" xfId="0" applyNumberFormat="1" applyFont="1" applyBorder="1" applyAlignment="1">
      <alignment horizontal="center" vertical="center"/>
    </xf>
    <xf numFmtId="14" fontId="0" fillId="0" borderId="6" xfId="0" applyNumberFormat="1" applyBorder="1"/>
    <xf numFmtId="14" fontId="0" fillId="0" borderId="8" xfId="0" applyNumberFormat="1" applyBorder="1"/>
    <xf numFmtId="0" fontId="0" fillId="0" borderId="1" xfId="0" applyBorder="1"/>
    <xf numFmtId="0" fontId="0" fillId="0" borderId="13" xfId="0" applyBorder="1"/>
    <xf numFmtId="1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3" xr:uid="{E27C05E2-DBDC-44BA-9294-29B223EDCC9E}"/>
    <cellStyle name="Pourcentage" xfId="1" builtinId="5"/>
    <cellStyle name="Pourcentage 2" xfId="2" xr:uid="{0C0DC156-B730-41EE-8E2E-ACB5AC72700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erflorgroup-my.sharepoint.com/personal/yannick_tetart_gerflor_com/Documents/Desktop/Rendement%20PIC.xlsx" TargetMode="External"/><Relationship Id="rId1" Type="http://schemas.openxmlformats.org/officeDocument/2006/relationships/externalLinkPath" Target="Rendement%20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Base Pic"/>
      <sheetName val="Taux d adhérence"/>
      <sheetName val="Feuil1"/>
      <sheetName val="Métrage imp"/>
    </sheetNames>
    <sheetDataSet>
      <sheetData sheetId="0"/>
      <sheetData sheetId="1">
        <row r="2">
          <cell r="I2">
            <v>30</v>
          </cell>
        </row>
        <row r="3">
          <cell r="C3">
            <v>65</v>
          </cell>
          <cell r="D3">
            <v>93</v>
          </cell>
          <cell r="E3">
            <v>90</v>
          </cell>
          <cell r="F3">
            <v>155</v>
          </cell>
          <cell r="G3">
            <v>38</v>
          </cell>
          <cell r="H3">
            <v>38</v>
          </cell>
          <cell r="I3">
            <v>20</v>
          </cell>
          <cell r="J3">
            <v>80</v>
          </cell>
        </row>
        <row r="4">
          <cell r="C4">
            <v>48</v>
          </cell>
          <cell r="D4">
            <v>121</v>
          </cell>
          <cell r="E4">
            <v>106</v>
          </cell>
          <cell r="F4">
            <v>190</v>
          </cell>
          <cell r="G4">
            <v>55</v>
          </cell>
          <cell r="H4">
            <v>37</v>
          </cell>
          <cell r="I4">
            <v>30</v>
          </cell>
          <cell r="J4">
            <v>70</v>
          </cell>
        </row>
        <row r="5">
          <cell r="C5">
            <v>37</v>
          </cell>
          <cell r="D5">
            <v>67</v>
          </cell>
          <cell r="E5">
            <v>82</v>
          </cell>
          <cell r="F5">
            <v>120</v>
          </cell>
          <cell r="G5">
            <v>48</v>
          </cell>
          <cell r="H5">
            <v>33</v>
          </cell>
          <cell r="I5">
            <v>30</v>
          </cell>
          <cell r="J5">
            <v>70</v>
          </cell>
        </row>
        <row r="6">
          <cell r="C6">
            <v>34</v>
          </cell>
          <cell r="D6">
            <v>62</v>
          </cell>
          <cell r="E6">
            <v>59</v>
          </cell>
          <cell r="F6">
            <v>153</v>
          </cell>
          <cell r="G6">
            <v>33</v>
          </cell>
          <cell r="H6">
            <v>22</v>
          </cell>
          <cell r="I6">
            <v>30</v>
          </cell>
          <cell r="J6">
            <v>80</v>
          </cell>
        </row>
        <row r="7">
          <cell r="C7">
            <v>38</v>
          </cell>
          <cell r="D7">
            <v>87</v>
          </cell>
          <cell r="E7">
            <v>119</v>
          </cell>
          <cell r="F7">
            <v>211</v>
          </cell>
          <cell r="G7">
            <v>55</v>
          </cell>
          <cell r="H7">
            <v>38</v>
          </cell>
          <cell r="I7">
            <v>40</v>
          </cell>
          <cell r="J7">
            <v>70</v>
          </cell>
        </row>
        <row r="8">
          <cell r="C8">
            <v>42</v>
          </cell>
          <cell r="D8">
            <v>83</v>
          </cell>
          <cell r="E8">
            <v>98</v>
          </cell>
          <cell r="F8">
            <v>164</v>
          </cell>
          <cell r="G8">
            <v>64</v>
          </cell>
          <cell r="H8">
            <v>36</v>
          </cell>
          <cell r="I8">
            <v>40</v>
          </cell>
          <cell r="J8">
            <v>80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167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C10">
            <v>55</v>
          </cell>
          <cell r="D10">
            <v>105</v>
          </cell>
          <cell r="E10">
            <v>109</v>
          </cell>
          <cell r="F10">
            <v>177</v>
          </cell>
          <cell r="G10">
            <v>54</v>
          </cell>
          <cell r="H10">
            <v>35</v>
          </cell>
          <cell r="I10">
            <v>30</v>
          </cell>
          <cell r="J10">
            <v>70</v>
          </cell>
        </row>
        <row r="11">
          <cell r="C11">
            <v>64</v>
          </cell>
          <cell r="D11">
            <v>106</v>
          </cell>
          <cell r="E11">
            <v>89</v>
          </cell>
          <cell r="F11">
            <v>184</v>
          </cell>
          <cell r="G11">
            <v>53</v>
          </cell>
          <cell r="H11">
            <v>33</v>
          </cell>
          <cell r="I11">
            <v>30</v>
          </cell>
          <cell r="J11">
            <v>80</v>
          </cell>
        </row>
        <row r="12">
          <cell r="C12">
            <v>57</v>
          </cell>
          <cell r="D12">
            <v>88</v>
          </cell>
          <cell r="E12">
            <v>87</v>
          </cell>
          <cell r="F12">
            <v>179</v>
          </cell>
          <cell r="G12">
            <v>54</v>
          </cell>
          <cell r="H12">
            <v>27</v>
          </cell>
          <cell r="I12">
            <v>20</v>
          </cell>
          <cell r="J12">
            <v>50</v>
          </cell>
        </row>
        <row r="13">
          <cell r="C13">
            <v>43</v>
          </cell>
          <cell r="D13">
            <v>60</v>
          </cell>
          <cell r="E13">
            <v>90</v>
          </cell>
          <cell r="F13">
            <v>110</v>
          </cell>
          <cell r="G13">
            <v>40</v>
          </cell>
          <cell r="H13">
            <v>22</v>
          </cell>
          <cell r="I13">
            <v>0</v>
          </cell>
          <cell r="J13">
            <v>30</v>
          </cell>
        </row>
      </sheetData>
      <sheetData sheetId="2">
        <row r="2">
          <cell r="H2">
            <v>0.47222222222222221</v>
          </cell>
        </row>
        <row r="3">
          <cell r="H3">
            <v>0.6470588235294118</v>
          </cell>
        </row>
        <row r="4">
          <cell r="H4">
            <v>0.63414634146341464</v>
          </cell>
        </row>
        <row r="5">
          <cell r="H5">
            <v>0.12857142857142856</v>
          </cell>
        </row>
        <row r="6">
          <cell r="H6" t="str">
            <v/>
          </cell>
        </row>
        <row r="7">
          <cell r="H7" t="str">
            <v/>
          </cell>
        </row>
        <row r="8">
          <cell r="H8" t="str">
            <v/>
          </cell>
        </row>
        <row r="9">
          <cell r="H9" t="str">
            <v/>
          </cell>
        </row>
        <row r="10">
          <cell r="H10" t="str">
            <v/>
          </cell>
        </row>
        <row r="11">
          <cell r="H11" t="str">
            <v/>
          </cell>
        </row>
        <row r="12">
          <cell r="H12" t="str">
            <v/>
          </cell>
        </row>
        <row r="13">
          <cell r="H13" t="str">
            <v/>
          </cell>
        </row>
        <row r="14">
          <cell r="H14" t="str">
            <v/>
          </cell>
        </row>
        <row r="15">
          <cell r="H15" t="str">
            <v/>
          </cell>
        </row>
        <row r="16">
          <cell r="H16" t="str">
            <v/>
          </cell>
        </row>
        <row r="17">
          <cell r="H17" t="str">
            <v/>
          </cell>
        </row>
        <row r="18">
          <cell r="H18" t="str">
            <v/>
          </cell>
        </row>
        <row r="19">
          <cell r="H19" t="str">
            <v/>
          </cell>
        </row>
        <row r="20">
          <cell r="H20" t="str">
            <v/>
          </cell>
        </row>
        <row r="21">
          <cell r="H21" t="str">
            <v/>
          </cell>
        </row>
        <row r="22">
          <cell r="H22" t="str">
            <v/>
          </cell>
        </row>
        <row r="23">
          <cell r="H23" t="str">
            <v/>
          </cell>
        </row>
        <row r="24">
          <cell r="H24" t="str">
            <v/>
          </cell>
        </row>
        <row r="25">
          <cell r="H25" t="str">
            <v/>
          </cell>
        </row>
        <row r="26">
          <cell r="H26" t="str">
            <v/>
          </cell>
        </row>
        <row r="27">
          <cell r="H27" t="str">
            <v/>
          </cell>
        </row>
        <row r="28">
          <cell r="H28" t="str">
            <v/>
          </cell>
        </row>
        <row r="29">
          <cell r="H29" t="str">
            <v/>
          </cell>
        </row>
        <row r="30">
          <cell r="H30" t="str">
            <v/>
          </cell>
        </row>
        <row r="31">
          <cell r="H31" t="str">
            <v/>
          </cell>
        </row>
        <row r="32">
          <cell r="H32" t="str">
            <v/>
          </cell>
        </row>
        <row r="33">
          <cell r="H33" t="str">
            <v/>
          </cell>
        </row>
        <row r="34">
          <cell r="H34" t="str">
            <v/>
          </cell>
        </row>
        <row r="35">
          <cell r="H35" t="str">
            <v/>
          </cell>
        </row>
        <row r="36">
          <cell r="H36" t="str">
            <v/>
          </cell>
        </row>
        <row r="37">
          <cell r="H37" t="str">
            <v/>
          </cell>
        </row>
        <row r="38">
          <cell r="H38" t="str">
            <v/>
          </cell>
        </row>
        <row r="39">
          <cell r="H39" t="str">
            <v/>
          </cell>
        </row>
        <row r="40">
          <cell r="H40" t="str">
            <v/>
          </cell>
        </row>
        <row r="41">
          <cell r="H41" t="str">
            <v/>
          </cell>
        </row>
        <row r="42">
          <cell r="H42" t="str">
            <v/>
          </cell>
        </row>
        <row r="43">
          <cell r="H43" t="str">
            <v/>
          </cell>
        </row>
        <row r="44">
          <cell r="H44" t="str">
            <v/>
          </cell>
        </row>
        <row r="45">
          <cell r="H45" t="str">
            <v/>
          </cell>
        </row>
        <row r="46">
          <cell r="H46" t="str">
            <v/>
          </cell>
        </row>
        <row r="47">
          <cell r="H47" t="str">
            <v/>
          </cell>
        </row>
        <row r="48">
          <cell r="H48" t="str">
            <v/>
          </cell>
        </row>
        <row r="49">
          <cell r="H49" t="str">
            <v/>
          </cell>
        </row>
        <row r="50">
          <cell r="H50" t="str">
            <v/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8B0-697D-4115-A735-4C15C226827B}">
  <sheetPr codeName="Feuil1"/>
  <dimension ref="A1:AM51"/>
  <sheetViews>
    <sheetView tabSelected="1" workbookViewId="0">
      <selection activeCell="R8" sqref="R8"/>
    </sheetView>
  </sheetViews>
  <sheetFormatPr baseColWidth="10" defaultColWidth="11.453125" defaultRowHeight="14.5" x14ac:dyDescent="0.35"/>
  <cols>
    <col min="15" max="15" width="11.453125" customWidth="1"/>
    <col min="16" max="16" width="15.6328125" bestFit="1" customWidth="1"/>
    <col min="17" max="17" width="11.453125" customWidth="1"/>
    <col min="18" max="18" width="14.26953125" bestFit="1" customWidth="1"/>
    <col min="19" max="19" width="20.26953125" customWidth="1"/>
    <col min="20" max="22" width="11.453125" customWidth="1"/>
    <col min="23" max="23" width="11.453125" style="15" customWidth="1"/>
    <col min="24" max="24" width="11.453125" style="21" customWidth="1"/>
    <col min="25" max="25" width="11.453125" customWidth="1"/>
    <col min="27" max="27" width="15.90625" bestFit="1" customWidth="1"/>
    <col min="35" max="35" width="15.6328125" bestFit="1" customWidth="1"/>
    <col min="38" max="38" width="15.90625" bestFit="1" customWidth="1"/>
  </cols>
  <sheetData>
    <row r="1" spans="1:39" ht="15" thickBot="1" x14ac:dyDescent="0.4">
      <c r="Z1" s="34" t="s">
        <v>26</v>
      </c>
      <c r="AA1" s="35"/>
      <c r="AB1" s="35"/>
      <c r="AC1" s="35"/>
      <c r="AD1" s="35"/>
      <c r="AE1" s="35"/>
      <c r="AF1" s="35"/>
      <c r="AG1" s="35"/>
      <c r="AH1" s="36"/>
    </row>
    <row r="2" spans="1:39" ht="38" thickBot="1" x14ac:dyDescent="0.4">
      <c r="A2" s="6">
        <v>2026</v>
      </c>
      <c r="B2" s="5" t="s">
        <v>0</v>
      </c>
      <c r="C2" s="7" t="s">
        <v>1</v>
      </c>
      <c r="F2" s="6">
        <v>2026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P2" s="2" t="s">
        <v>10</v>
      </c>
      <c r="Q2" s="7">
        <v>13</v>
      </c>
      <c r="S2" s="2" t="s">
        <v>11</v>
      </c>
      <c r="T2" s="2">
        <v>63</v>
      </c>
      <c r="V2" s="7">
        <v>2026</v>
      </c>
      <c r="W2" s="16" t="s">
        <v>24</v>
      </c>
      <c r="X2" s="22" t="s">
        <v>25</v>
      </c>
      <c r="Z2" s="6">
        <v>2026</v>
      </c>
      <c r="AA2" s="4" t="s">
        <v>2</v>
      </c>
      <c r="AB2" s="4" t="s">
        <v>3</v>
      </c>
      <c r="AC2" s="4" t="s">
        <v>4</v>
      </c>
      <c r="AD2" s="4" t="s">
        <v>5</v>
      </c>
      <c r="AE2" s="4" t="s">
        <v>6</v>
      </c>
      <c r="AF2" s="4" t="s">
        <v>7</v>
      </c>
      <c r="AG2" s="4" t="s">
        <v>8</v>
      </c>
      <c r="AH2" s="4" t="s">
        <v>9</v>
      </c>
      <c r="AI2" s="4" t="s">
        <v>30</v>
      </c>
      <c r="AJ2" s="8" t="s">
        <v>27</v>
      </c>
      <c r="AK2" s="8" t="s">
        <v>28</v>
      </c>
      <c r="AL2" s="29">
        <v>46081</v>
      </c>
      <c r="AM2" s="8" t="s">
        <v>29</v>
      </c>
    </row>
    <row r="3" spans="1:39" ht="15" thickBot="1" x14ac:dyDescent="0.4">
      <c r="A3" s="1" t="s">
        <v>12</v>
      </c>
      <c r="B3" s="28">
        <f>G3+H3+I3+J3+K3+L3+M3+N3</f>
        <v>586</v>
      </c>
      <c r="C3" s="3">
        <v>577</v>
      </c>
      <c r="F3" s="1" t="s">
        <v>12</v>
      </c>
      <c r="G3" s="8">
        <v>74</v>
      </c>
      <c r="H3" s="8">
        <v>49</v>
      </c>
      <c r="I3" s="8">
        <v>122</v>
      </c>
      <c r="J3" s="8">
        <v>173</v>
      </c>
      <c r="K3" s="8">
        <v>62</v>
      </c>
      <c r="L3" s="8">
        <v>22</v>
      </c>
      <c r="M3" s="8">
        <v>31</v>
      </c>
      <c r="N3" s="8">
        <v>53</v>
      </c>
      <c r="V3" s="14">
        <v>2</v>
      </c>
      <c r="W3" s="17" cm="1">
        <f t="array" ref="W3:W51">'[1]Taux d adhérence'!$H$2:$H$50</f>
        <v>0.47222222222222221</v>
      </c>
      <c r="X3" s="23">
        <v>0.85</v>
      </c>
      <c r="Z3" s="1" t="s">
        <v>12</v>
      </c>
      <c r="AA3" s="25"/>
      <c r="AB3" s="25"/>
      <c r="AC3" s="25"/>
      <c r="AD3" s="25"/>
      <c r="AE3" s="25"/>
      <c r="AF3" s="25"/>
      <c r="AG3" s="25"/>
      <c r="AH3" s="25"/>
      <c r="AI3" s="31"/>
      <c r="AJ3" s="32"/>
      <c r="AK3" s="10"/>
      <c r="AL3" s="30"/>
      <c r="AM3" s="8"/>
    </row>
    <row r="4" spans="1:39" ht="15" thickBot="1" x14ac:dyDescent="0.4">
      <c r="A4" s="1" t="s">
        <v>13</v>
      </c>
      <c r="B4" s="28">
        <f t="shared" ref="B4:B14" si="0">G4+H4+I4+J4+K4+L4+M4+N4</f>
        <v>0</v>
      </c>
      <c r="C4" s="3">
        <v>579</v>
      </c>
      <c r="F4" s="1" t="s">
        <v>13</v>
      </c>
      <c r="G4" s="9"/>
      <c r="H4" s="9"/>
      <c r="I4" s="9"/>
      <c r="J4" s="9"/>
      <c r="K4" s="9"/>
      <c r="L4" s="9"/>
      <c r="M4" s="9"/>
      <c r="N4" s="9"/>
      <c r="P4" s="2" t="s">
        <v>30</v>
      </c>
      <c r="Q4" s="33">
        <v>22</v>
      </c>
      <c r="V4" s="12">
        <v>3</v>
      </c>
      <c r="W4" s="18">
        <v>0.6470588235294118</v>
      </c>
      <c r="X4" s="23">
        <v>0.85</v>
      </c>
      <c r="Z4" s="1" t="s">
        <v>13</v>
      </c>
      <c r="AA4" s="25">
        <f>'[1]Base Pic'!C3-G4</f>
        <v>65</v>
      </c>
      <c r="AB4" s="25">
        <f>'[1]Base Pic'!D3-H4</f>
        <v>93</v>
      </c>
      <c r="AC4" s="25">
        <f>'[1]Base Pic'!E3-I4</f>
        <v>90</v>
      </c>
      <c r="AD4" s="25">
        <f>'[1]Base Pic'!F3-J4</f>
        <v>155</v>
      </c>
      <c r="AE4" s="25">
        <f>'[1]Base Pic'!G3-K4</f>
        <v>38</v>
      </c>
      <c r="AF4" s="25">
        <f>'[1]Base Pic'!H3-L4</f>
        <v>38</v>
      </c>
      <c r="AG4" s="25">
        <f>'[1]Base Pic'!I3-M4</f>
        <v>20</v>
      </c>
      <c r="AH4" s="25">
        <f>'[1]Base Pic'!J3-N4</f>
        <v>80</v>
      </c>
      <c r="AI4" s="31"/>
    </row>
    <row r="5" spans="1:39" ht="15" thickBot="1" x14ac:dyDescent="0.4">
      <c r="A5" s="1" t="s">
        <v>14</v>
      </c>
      <c r="B5" s="28">
        <f t="shared" si="0"/>
        <v>0</v>
      </c>
      <c r="C5" s="3">
        <v>657</v>
      </c>
      <c r="F5" s="1" t="s">
        <v>14</v>
      </c>
      <c r="G5" s="9"/>
      <c r="H5" s="9"/>
      <c r="I5" s="9"/>
      <c r="J5" s="9"/>
      <c r="K5" s="9"/>
      <c r="L5" s="9"/>
      <c r="M5" s="9"/>
      <c r="N5" s="9"/>
      <c r="V5" s="12">
        <v>4</v>
      </c>
      <c r="W5" s="18">
        <v>0.63414634146341464</v>
      </c>
      <c r="X5" s="23">
        <v>0.85</v>
      </c>
      <c r="Z5" s="1" t="s">
        <v>14</v>
      </c>
      <c r="AA5" s="25">
        <f>'[1]Base Pic'!C4-G5</f>
        <v>48</v>
      </c>
      <c r="AB5" s="25">
        <f>'[1]Base Pic'!D4-H5</f>
        <v>121</v>
      </c>
      <c r="AC5" s="25">
        <f>'[1]Base Pic'!E4-I5</f>
        <v>106</v>
      </c>
      <c r="AD5" s="25">
        <f>'[1]Base Pic'!F4-J5</f>
        <v>190</v>
      </c>
      <c r="AE5" s="25">
        <f>'[1]Base Pic'!G4-K5</f>
        <v>55</v>
      </c>
      <c r="AF5" s="25">
        <f>'[1]Base Pic'!H4-L5</f>
        <v>37</v>
      </c>
      <c r="AG5" s="25">
        <f>'[1]Base Pic'!I4-M5</f>
        <v>30</v>
      </c>
      <c r="AH5" s="25">
        <f>'[1]Base Pic'!J4-N5</f>
        <v>70</v>
      </c>
      <c r="AI5" s="31"/>
    </row>
    <row r="6" spans="1:39" ht="15" thickBot="1" x14ac:dyDescent="0.4">
      <c r="A6" s="1" t="s">
        <v>15</v>
      </c>
      <c r="B6" s="28">
        <f t="shared" si="0"/>
        <v>0</v>
      </c>
      <c r="C6" s="3">
        <v>487</v>
      </c>
      <c r="F6" s="1" t="s">
        <v>15</v>
      </c>
      <c r="G6" s="9"/>
      <c r="H6" s="9"/>
      <c r="I6" s="9"/>
      <c r="J6" s="9"/>
      <c r="K6" s="9"/>
      <c r="L6" s="9"/>
      <c r="M6" s="9"/>
      <c r="N6" s="9"/>
      <c r="T6" s="11"/>
      <c r="V6" s="12">
        <v>5</v>
      </c>
      <c r="W6" s="18">
        <v>0.12857142857142856</v>
      </c>
      <c r="X6" s="23">
        <v>0.85</v>
      </c>
      <c r="Z6" s="1" t="s">
        <v>15</v>
      </c>
      <c r="AA6" s="25">
        <f>'[1]Base Pic'!C5-G6</f>
        <v>37</v>
      </c>
      <c r="AB6" s="25">
        <f>'[1]Base Pic'!D5-H6</f>
        <v>67</v>
      </c>
      <c r="AC6" s="25">
        <f>'[1]Base Pic'!E5-I6</f>
        <v>82</v>
      </c>
      <c r="AD6" s="25">
        <f>'[1]Base Pic'!F5-J6</f>
        <v>120</v>
      </c>
      <c r="AE6" s="25">
        <f>'[1]Base Pic'!G5-K6</f>
        <v>48</v>
      </c>
      <c r="AF6" s="25">
        <f>'[1]Base Pic'!H5-L6</f>
        <v>33</v>
      </c>
      <c r="AG6" s="25">
        <f>'[1]Base Pic'!I5-M6</f>
        <v>30</v>
      </c>
      <c r="AH6" s="25">
        <f>'[1]Base Pic'!J5-N6</f>
        <v>70</v>
      </c>
      <c r="AI6" s="31"/>
    </row>
    <row r="7" spans="1:39" ht="15" thickBot="1" x14ac:dyDescent="0.4">
      <c r="A7" s="1" t="s">
        <v>16</v>
      </c>
      <c r="B7" s="28">
        <f t="shared" si="0"/>
        <v>0</v>
      </c>
      <c r="C7" s="3">
        <v>473</v>
      </c>
      <c r="F7" s="1" t="s">
        <v>16</v>
      </c>
      <c r="G7" s="9"/>
      <c r="H7" s="9"/>
      <c r="I7" s="9"/>
      <c r="J7" s="9"/>
      <c r="K7" s="9"/>
      <c r="L7" s="9"/>
      <c r="M7" s="9"/>
      <c r="N7" s="9"/>
      <c r="V7" s="12">
        <v>6</v>
      </c>
      <c r="W7" s="18" t="str">
        <v/>
      </c>
      <c r="X7" s="23">
        <v>0.85</v>
      </c>
      <c r="Z7" s="1" t="s">
        <v>16</v>
      </c>
      <c r="AA7" s="25">
        <f>'[1]Base Pic'!C6-G7</f>
        <v>34</v>
      </c>
      <c r="AB7" s="25">
        <f>'[1]Base Pic'!D6-H7</f>
        <v>62</v>
      </c>
      <c r="AC7" s="25">
        <f>'[1]Base Pic'!E6-I7</f>
        <v>59</v>
      </c>
      <c r="AD7" s="25">
        <f>'[1]Base Pic'!F6-J7</f>
        <v>153</v>
      </c>
      <c r="AE7" s="25">
        <f>'[1]Base Pic'!G6-K7</f>
        <v>33</v>
      </c>
      <c r="AF7" s="25">
        <f>'[1]Base Pic'!H6-L7</f>
        <v>22</v>
      </c>
      <c r="AG7" s="25">
        <f>'[1]Base Pic'!I6-M7</f>
        <v>30</v>
      </c>
      <c r="AH7" s="25">
        <f>'[1]Base Pic'!J6-N7</f>
        <v>80</v>
      </c>
      <c r="AI7" s="31"/>
    </row>
    <row r="8" spans="1:39" ht="15" thickBot="1" x14ac:dyDescent="0.4">
      <c r="A8" s="1" t="s">
        <v>17</v>
      </c>
      <c r="B8" s="28">
        <f t="shared" si="0"/>
        <v>0</v>
      </c>
      <c r="C8" s="3">
        <v>658</v>
      </c>
      <c r="F8" s="1" t="s">
        <v>17</v>
      </c>
      <c r="G8" s="9"/>
      <c r="H8" s="9"/>
      <c r="I8" s="9"/>
      <c r="J8" s="9"/>
      <c r="K8" s="9"/>
      <c r="L8" s="9"/>
      <c r="M8" s="9"/>
      <c r="N8" s="9"/>
      <c r="V8" s="12">
        <v>7</v>
      </c>
      <c r="W8" s="18" t="str">
        <v/>
      </c>
      <c r="X8" s="23">
        <v>0.85</v>
      </c>
      <c r="Z8" s="1" t="s">
        <v>17</v>
      </c>
      <c r="AA8" s="25">
        <f>'[1]Base Pic'!C7-G8</f>
        <v>38</v>
      </c>
      <c r="AB8" s="25">
        <f>'[1]Base Pic'!D7-H8</f>
        <v>87</v>
      </c>
      <c r="AC8" s="25">
        <f>'[1]Base Pic'!E7-I8</f>
        <v>119</v>
      </c>
      <c r="AD8" s="25">
        <f>'[1]Base Pic'!F7-J8</f>
        <v>211</v>
      </c>
      <c r="AE8" s="25">
        <f>'[1]Base Pic'!G7-K8</f>
        <v>55</v>
      </c>
      <c r="AF8" s="25">
        <f>'[1]Base Pic'!H7-L8</f>
        <v>38</v>
      </c>
      <c r="AG8" s="25">
        <f>'[1]Base Pic'!I7-M8</f>
        <v>40</v>
      </c>
      <c r="AH8" s="25">
        <f>'[1]Base Pic'!J7-N8</f>
        <v>70</v>
      </c>
      <c r="AI8" s="31"/>
    </row>
    <row r="9" spans="1:39" ht="15" thickBot="1" x14ac:dyDescent="0.4">
      <c r="A9" s="1" t="s">
        <v>18</v>
      </c>
      <c r="B9" s="28">
        <f t="shared" si="0"/>
        <v>0</v>
      </c>
      <c r="C9" s="3">
        <v>607</v>
      </c>
      <c r="F9" s="1" t="s">
        <v>18</v>
      </c>
      <c r="G9" s="9"/>
      <c r="H9" s="9"/>
      <c r="I9" s="9"/>
      <c r="J9" s="9"/>
      <c r="K9" s="9"/>
      <c r="L9" s="9"/>
      <c r="M9" s="9"/>
      <c r="N9" s="9"/>
      <c r="V9" s="12">
        <v>8</v>
      </c>
      <c r="W9" s="18" t="str">
        <v/>
      </c>
      <c r="X9" s="23">
        <v>0.85</v>
      </c>
      <c r="Z9" s="1" t="s">
        <v>18</v>
      </c>
      <c r="AA9" s="25">
        <f>'[1]Base Pic'!C8-G9</f>
        <v>42</v>
      </c>
      <c r="AB9" s="25">
        <f>'[1]Base Pic'!D8-H9</f>
        <v>83</v>
      </c>
      <c r="AC9" s="25">
        <f>'[1]Base Pic'!E8-I9</f>
        <v>98</v>
      </c>
      <c r="AD9" s="25">
        <f>'[1]Base Pic'!F8-J9</f>
        <v>164</v>
      </c>
      <c r="AE9" s="25">
        <f>'[1]Base Pic'!G8-K9</f>
        <v>64</v>
      </c>
      <c r="AF9" s="25">
        <f>'[1]Base Pic'!H8-L9</f>
        <v>36</v>
      </c>
      <c r="AG9" s="25">
        <f>'[1]Base Pic'!I8-M9</f>
        <v>40</v>
      </c>
      <c r="AH9" s="25">
        <f>'[1]Base Pic'!J8-N9</f>
        <v>80</v>
      </c>
      <c r="AI9" s="31"/>
    </row>
    <row r="10" spans="1:39" ht="15" thickBot="1" x14ac:dyDescent="0.4">
      <c r="A10" s="1" t="s">
        <v>19</v>
      </c>
      <c r="B10" s="28">
        <f t="shared" si="0"/>
        <v>0</v>
      </c>
      <c r="C10" s="3">
        <v>167</v>
      </c>
      <c r="E10" s="3"/>
      <c r="F10" s="1" t="s">
        <v>19</v>
      </c>
      <c r="G10" s="9"/>
      <c r="H10" s="9"/>
      <c r="I10" s="9"/>
      <c r="J10" s="9"/>
      <c r="K10" s="9"/>
      <c r="L10" s="9"/>
      <c r="M10" s="9"/>
      <c r="N10" s="9"/>
      <c r="V10" s="12">
        <v>9</v>
      </c>
      <c r="W10" s="18" t="str">
        <v/>
      </c>
      <c r="X10" s="23">
        <v>0.85</v>
      </c>
      <c r="Z10" s="1" t="s">
        <v>19</v>
      </c>
      <c r="AA10" s="25">
        <f>'[1]Base Pic'!C9-G10</f>
        <v>0</v>
      </c>
      <c r="AB10" s="25">
        <f>'[1]Base Pic'!D9-H10</f>
        <v>0</v>
      </c>
      <c r="AC10" s="25">
        <f>'[1]Base Pic'!E9-I10</f>
        <v>0</v>
      </c>
      <c r="AD10" s="25">
        <f>'[1]Base Pic'!F9-J10</f>
        <v>167</v>
      </c>
      <c r="AE10" s="25">
        <f>'[1]Base Pic'!G9-K10</f>
        <v>0</v>
      </c>
      <c r="AF10" s="25">
        <f>'[1]Base Pic'!H9-L10</f>
        <v>0</v>
      </c>
      <c r="AG10" s="25">
        <f>'[1]Base Pic'!I9-M10</f>
        <v>0</v>
      </c>
      <c r="AH10" s="25">
        <f>'[1]Base Pic'!J9-N10</f>
        <v>0</v>
      </c>
      <c r="AI10" s="31"/>
    </row>
    <row r="11" spans="1:39" ht="15" thickBot="1" x14ac:dyDescent="0.4">
      <c r="A11" s="1" t="s">
        <v>20</v>
      </c>
      <c r="B11" s="28">
        <f t="shared" si="0"/>
        <v>0</v>
      </c>
      <c r="C11" s="3">
        <v>635</v>
      </c>
      <c r="F11" s="1" t="s">
        <v>20</v>
      </c>
      <c r="G11" s="9"/>
      <c r="H11" s="9"/>
      <c r="I11" s="9"/>
      <c r="J11" s="9"/>
      <c r="K11" s="9"/>
      <c r="L11" s="9"/>
      <c r="M11" s="9"/>
      <c r="N11" s="9"/>
      <c r="V11" s="12">
        <v>10</v>
      </c>
      <c r="W11" s="18" t="str">
        <v/>
      </c>
      <c r="X11" s="23">
        <v>0.85</v>
      </c>
      <c r="Z11" s="1" t="s">
        <v>20</v>
      </c>
      <c r="AA11" s="25">
        <f>'[1]Base Pic'!C10-G11</f>
        <v>55</v>
      </c>
      <c r="AB11" s="25">
        <f>'[1]Base Pic'!D10-H11</f>
        <v>105</v>
      </c>
      <c r="AC11" s="25">
        <f>'[1]Base Pic'!E10-I11</f>
        <v>109</v>
      </c>
      <c r="AD11" s="25">
        <f>'[1]Base Pic'!F10-J11</f>
        <v>177</v>
      </c>
      <c r="AE11" s="25">
        <f>'[1]Base Pic'!G10-K11</f>
        <v>54</v>
      </c>
      <c r="AF11" s="25">
        <f>'[1]Base Pic'!H10-L11</f>
        <v>35</v>
      </c>
      <c r="AG11" s="25">
        <f>'[1]Base Pic'!I10-M11</f>
        <v>30</v>
      </c>
      <c r="AH11" s="25">
        <f>'[1]Base Pic'!J10-N11</f>
        <v>70</v>
      </c>
      <c r="AI11" s="31"/>
    </row>
    <row r="12" spans="1:39" ht="15" thickBot="1" x14ac:dyDescent="0.4">
      <c r="A12" s="1" t="s">
        <v>21</v>
      </c>
      <c r="B12" s="28">
        <f t="shared" si="0"/>
        <v>0</v>
      </c>
      <c r="C12" s="3">
        <v>639</v>
      </c>
      <c r="F12" s="1" t="s">
        <v>21</v>
      </c>
      <c r="G12" s="9"/>
      <c r="H12" s="9"/>
      <c r="I12" s="9"/>
      <c r="J12" s="9"/>
      <c r="K12" s="9"/>
      <c r="L12" s="9"/>
      <c r="M12" s="9"/>
      <c r="N12" s="9"/>
      <c r="V12" s="12">
        <v>11</v>
      </c>
      <c r="W12" s="18" t="str">
        <v/>
      </c>
      <c r="X12" s="23">
        <v>0.85</v>
      </c>
      <c r="Z12" s="1" t="s">
        <v>21</v>
      </c>
      <c r="AA12" s="25">
        <f>'[1]Base Pic'!C11-G12</f>
        <v>64</v>
      </c>
      <c r="AB12" s="25">
        <f>'[1]Base Pic'!D11-H12</f>
        <v>106</v>
      </c>
      <c r="AC12" s="25">
        <f>'[1]Base Pic'!E11-I12</f>
        <v>89</v>
      </c>
      <c r="AD12" s="25">
        <f>'[1]Base Pic'!F11-J12</f>
        <v>184</v>
      </c>
      <c r="AE12" s="25">
        <f>'[1]Base Pic'!G11-K12</f>
        <v>53</v>
      </c>
      <c r="AF12" s="25">
        <f>'[1]Base Pic'!H11-L12</f>
        <v>33</v>
      </c>
      <c r="AG12" s="25">
        <f>'[1]Base Pic'!I11-M12</f>
        <v>30</v>
      </c>
      <c r="AH12" s="25">
        <f>'[1]Base Pic'!J11-N12</f>
        <v>80</v>
      </c>
      <c r="AI12" s="31"/>
    </row>
    <row r="13" spans="1:39" ht="15" thickBot="1" x14ac:dyDescent="0.4">
      <c r="A13" s="1" t="s">
        <v>22</v>
      </c>
      <c r="B13" s="28">
        <f t="shared" si="0"/>
        <v>0</v>
      </c>
      <c r="C13" s="3">
        <v>562</v>
      </c>
      <c r="F13" s="1" t="s">
        <v>22</v>
      </c>
      <c r="G13" s="9"/>
      <c r="H13" s="9"/>
      <c r="I13" s="9"/>
      <c r="J13" s="9"/>
      <c r="K13" s="9"/>
      <c r="L13" s="9"/>
      <c r="M13" s="9"/>
      <c r="N13" s="9"/>
      <c r="V13" s="12">
        <v>12</v>
      </c>
      <c r="W13" s="18" t="str">
        <v/>
      </c>
      <c r="X13" s="23">
        <v>0.85</v>
      </c>
      <c r="Z13" s="1" t="s">
        <v>22</v>
      </c>
      <c r="AA13" s="26">
        <f>'[1]Base Pic'!C12-G13</f>
        <v>57</v>
      </c>
      <c r="AB13" s="26">
        <f>'[1]Base Pic'!D12-H13</f>
        <v>88</v>
      </c>
      <c r="AC13" s="26">
        <f>'[1]Base Pic'!E12-I13</f>
        <v>87</v>
      </c>
      <c r="AD13" s="26">
        <f>'[1]Base Pic'!F12-J13</f>
        <v>179</v>
      </c>
      <c r="AE13" s="26">
        <f>'[1]Base Pic'!G12-K13</f>
        <v>54</v>
      </c>
      <c r="AF13" s="26">
        <f>'[1]Base Pic'!H12-L13</f>
        <v>27</v>
      </c>
      <c r="AG13" s="26">
        <f>'[1]Base Pic'!I12-M13</f>
        <v>20</v>
      </c>
      <c r="AH13" s="26">
        <f>'[1]Base Pic'!J12-N13</f>
        <v>50</v>
      </c>
      <c r="AI13" s="31"/>
    </row>
    <row r="14" spans="1:39" ht="15" thickBot="1" x14ac:dyDescent="0.4">
      <c r="A14" s="1" t="s">
        <v>23</v>
      </c>
      <c r="B14" s="28">
        <f t="shared" si="0"/>
        <v>0</v>
      </c>
      <c r="C14" s="3">
        <v>395</v>
      </c>
      <c r="F14" s="1" t="s">
        <v>23</v>
      </c>
      <c r="G14" s="10"/>
      <c r="H14" s="10"/>
      <c r="I14" s="10"/>
      <c r="J14" s="10"/>
      <c r="K14" s="10"/>
      <c r="L14" s="10"/>
      <c r="M14" s="10"/>
      <c r="N14" s="10"/>
      <c r="V14" s="12">
        <v>13</v>
      </c>
      <c r="W14" s="18" t="str">
        <v/>
      </c>
      <c r="X14" s="23">
        <v>0.85</v>
      </c>
      <c r="Z14" s="1" t="s">
        <v>23</v>
      </c>
      <c r="AA14" s="27">
        <f>'[1]Base Pic'!C13-G14</f>
        <v>43</v>
      </c>
      <c r="AB14" s="27">
        <f>'[1]Base Pic'!D13-H14</f>
        <v>60</v>
      </c>
      <c r="AC14" s="27">
        <f>'[1]Base Pic'!E13-I14</f>
        <v>90</v>
      </c>
      <c r="AD14" s="27">
        <f>'[1]Base Pic'!F13-J14</f>
        <v>110</v>
      </c>
      <c r="AE14" s="27">
        <f>'[1]Base Pic'!G13-K14</f>
        <v>40</v>
      </c>
      <c r="AF14" s="27">
        <f>'[1]Base Pic'!H13-L14</f>
        <v>22</v>
      </c>
      <c r="AG14" s="27">
        <f>'[1]Base Pic'!I13-M14</f>
        <v>0</v>
      </c>
      <c r="AH14" s="27">
        <f>'[1]Base Pic'!J13-N14</f>
        <v>30</v>
      </c>
      <c r="AI14" s="31"/>
    </row>
    <row r="15" spans="1:39" ht="15" thickBot="1" x14ac:dyDescent="0.4">
      <c r="A15" s="1"/>
      <c r="B15" s="5"/>
      <c r="C15" s="5"/>
      <c r="V15" s="12">
        <v>14</v>
      </c>
      <c r="W15" s="18" t="str">
        <v/>
      </c>
      <c r="X15" s="23">
        <v>0.85</v>
      </c>
    </row>
    <row r="16" spans="1:39" ht="15" thickBot="1" x14ac:dyDescent="0.4">
      <c r="A16" s="24"/>
      <c r="B16" s="8"/>
      <c r="C16" s="8"/>
      <c r="V16" s="12">
        <v>15</v>
      </c>
      <c r="W16" s="18" t="str">
        <v/>
      </c>
      <c r="X16" s="23">
        <v>0.85</v>
      </c>
    </row>
    <row r="17" spans="1:24" ht="15" thickBot="1" x14ac:dyDescent="0.4">
      <c r="A17" s="1"/>
      <c r="B17" s="9"/>
      <c r="C17" s="9"/>
      <c r="V17" s="12">
        <v>16</v>
      </c>
      <c r="W17" s="18" t="str">
        <v/>
      </c>
      <c r="X17" s="23">
        <v>0.85</v>
      </c>
    </row>
    <row r="18" spans="1:24" ht="15" thickBot="1" x14ac:dyDescent="0.4">
      <c r="A18" s="1"/>
      <c r="B18" s="9"/>
      <c r="C18" s="9"/>
      <c r="F18" s="6">
        <v>2026</v>
      </c>
      <c r="G18" s="4" t="s">
        <v>2</v>
      </c>
      <c r="H18" s="4" t="s">
        <v>3</v>
      </c>
      <c r="I18" s="4" t="s">
        <v>4</v>
      </c>
      <c r="J18" s="4" t="s">
        <v>5</v>
      </c>
      <c r="K18" s="4" t="s">
        <v>6</v>
      </c>
      <c r="L18" s="4" t="s">
        <v>7</v>
      </c>
      <c r="M18" s="4" t="s">
        <v>8</v>
      </c>
      <c r="N18" s="4" t="s">
        <v>9</v>
      </c>
      <c r="V18" s="12">
        <v>17</v>
      </c>
      <c r="W18" s="18" t="str">
        <v/>
      </c>
      <c r="X18" s="23">
        <v>0.85</v>
      </c>
    </row>
    <row r="19" spans="1:24" ht="15" thickBot="1" x14ac:dyDescent="0.4">
      <c r="A19" s="1"/>
      <c r="B19" s="9"/>
      <c r="C19" s="9"/>
      <c r="F19" s="1" t="s">
        <v>12</v>
      </c>
      <c r="G19" s="8"/>
      <c r="H19" s="8"/>
      <c r="I19" s="8"/>
      <c r="J19" s="8"/>
      <c r="K19" s="8"/>
      <c r="L19" s="8"/>
      <c r="M19" s="8"/>
      <c r="N19" s="8"/>
      <c r="V19" s="12">
        <v>18</v>
      </c>
      <c r="W19" s="18" t="str">
        <v/>
      </c>
      <c r="X19" s="23">
        <v>0.85</v>
      </c>
    </row>
    <row r="20" spans="1:24" ht="15" thickBot="1" x14ac:dyDescent="0.4">
      <c r="A20" s="1"/>
      <c r="B20" s="9"/>
      <c r="C20" s="9"/>
      <c r="F20" s="1" t="s">
        <v>13</v>
      </c>
      <c r="G20" s="9"/>
      <c r="H20" s="9"/>
      <c r="I20" s="9"/>
      <c r="J20" s="9"/>
      <c r="K20" s="9"/>
      <c r="L20" s="9"/>
      <c r="M20" s="9"/>
      <c r="N20" s="9"/>
      <c r="Q20" s="37"/>
      <c r="V20" s="12">
        <v>20</v>
      </c>
      <c r="W20" s="18" t="str">
        <v/>
      </c>
      <c r="X20" s="23">
        <v>0.85</v>
      </c>
    </row>
    <row r="21" spans="1:24" ht="15" thickBot="1" x14ac:dyDescent="0.4">
      <c r="A21" s="1"/>
      <c r="B21" s="9"/>
      <c r="C21" s="9"/>
      <c r="F21" s="1" t="s">
        <v>14</v>
      </c>
      <c r="G21" s="9"/>
      <c r="H21" s="9"/>
      <c r="I21" s="9"/>
      <c r="J21" s="9"/>
      <c r="K21" s="9"/>
      <c r="L21" s="9"/>
      <c r="M21" s="9"/>
      <c r="N21" s="9"/>
      <c r="Q21" s="37"/>
      <c r="V21" s="12">
        <v>21</v>
      </c>
      <c r="W21" s="18" t="str">
        <v/>
      </c>
      <c r="X21" s="23">
        <v>0.85</v>
      </c>
    </row>
    <row r="22" spans="1:24" ht="15" thickBot="1" x14ac:dyDescent="0.4">
      <c r="A22" s="1"/>
      <c r="B22" s="9"/>
      <c r="C22" s="9"/>
      <c r="F22" s="1" t="s">
        <v>15</v>
      </c>
      <c r="G22" s="9"/>
      <c r="H22" s="9"/>
      <c r="I22" s="9"/>
      <c r="J22" s="9"/>
      <c r="K22" s="9"/>
      <c r="L22" s="9"/>
      <c r="M22" s="9"/>
      <c r="N22" s="9"/>
      <c r="Q22" s="37"/>
      <c r="V22" s="12">
        <v>22</v>
      </c>
      <c r="W22" s="18" t="str">
        <v/>
      </c>
      <c r="X22" s="23">
        <v>0.85</v>
      </c>
    </row>
    <row r="23" spans="1:24" ht="15" thickBot="1" x14ac:dyDescent="0.4">
      <c r="A23" s="1"/>
      <c r="B23" s="9"/>
      <c r="C23" s="9"/>
      <c r="F23" s="1" t="s">
        <v>16</v>
      </c>
      <c r="G23" s="9"/>
      <c r="H23" s="9"/>
      <c r="I23" s="9"/>
      <c r="J23" s="9"/>
      <c r="K23" s="9"/>
      <c r="L23" s="9"/>
      <c r="M23" s="9"/>
      <c r="N23" s="9"/>
      <c r="V23" s="12">
        <v>23</v>
      </c>
      <c r="W23" s="18" t="str">
        <v/>
      </c>
      <c r="X23" s="23">
        <v>0.85</v>
      </c>
    </row>
    <row r="24" spans="1:24" ht="15" thickBot="1" x14ac:dyDescent="0.4">
      <c r="A24" s="1"/>
      <c r="B24" s="9"/>
      <c r="C24" s="9"/>
      <c r="F24" s="1" t="s">
        <v>17</v>
      </c>
      <c r="G24" s="9"/>
      <c r="H24" s="9"/>
      <c r="I24" s="9"/>
      <c r="J24" s="9"/>
      <c r="K24" s="9"/>
      <c r="L24" s="9"/>
      <c r="M24" s="9"/>
      <c r="N24" s="9"/>
      <c r="V24" s="12">
        <v>24</v>
      </c>
      <c r="W24" s="18" t="str">
        <v/>
      </c>
      <c r="X24" s="23">
        <v>0.85</v>
      </c>
    </row>
    <row r="25" spans="1:24" ht="15" thickBot="1" x14ac:dyDescent="0.4">
      <c r="A25" s="1"/>
      <c r="B25" s="9"/>
      <c r="C25" s="9"/>
      <c r="F25" s="1" t="s">
        <v>18</v>
      </c>
      <c r="G25" s="9"/>
      <c r="H25" s="9"/>
      <c r="I25" s="9"/>
      <c r="J25" s="9"/>
      <c r="K25" s="9"/>
      <c r="L25" s="9"/>
      <c r="M25" s="9"/>
      <c r="N25" s="9"/>
      <c r="V25" s="12">
        <v>25</v>
      </c>
      <c r="W25" s="18" t="str">
        <v/>
      </c>
      <c r="X25" s="23">
        <v>0.85</v>
      </c>
    </row>
    <row r="26" spans="1:24" ht="15" thickBot="1" x14ac:dyDescent="0.4">
      <c r="A26" s="1"/>
      <c r="B26" s="9"/>
      <c r="C26" s="9"/>
      <c r="F26" s="1" t="s">
        <v>19</v>
      </c>
      <c r="G26" s="9"/>
      <c r="H26" s="9"/>
      <c r="I26" s="9"/>
      <c r="J26" s="9"/>
      <c r="K26" s="9"/>
      <c r="L26" s="9"/>
      <c r="M26" s="9"/>
      <c r="N26" s="9"/>
      <c r="V26" s="12">
        <v>26</v>
      </c>
      <c r="W26" s="18" t="str">
        <v/>
      </c>
      <c r="X26" s="23">
        <v>0.85</v>
      </c>
    </row>
    <row r="27" spans="1:24" ht="15" thickBot="1" x14ac:dyDescent="0.4">
      <c r="A27" s="1"/>
      <c r="B27" s="10"/>
      <c r="C27" s="10"/>
      <c r="F27" s="1" t="s">
        <v>20</v>
      </c>
      <c r="G27" s="9"/>
      <c r="H27" s="9"/>
      <c r="I27" s="9"/>
      <c r="J27" s="9"/>
      <c r="K27" s="9"/>
      <c r="L27" s="9"/>
      <c r="M27" s="9"/>
      <c r="N27" s="9"/>
      <c r="V27" s="12">
        <v>27</v>
      </c>
      <c r="W27" s="18" t="str">
        <v/>
      </c>
      <c r="X27" s="23">
        <v>0.85</v>
      </c>
    </row>
    <row r="28" spans="1:24" ht="15" thickBot="1" x14ac:dyDescent="0.4">
      <c r="F28" s="1" t="s">
        <v>21</v>
      </c>
      <c r="G28" s="9"/>
      <c r="H28" s="9"/>
      <c r="I28" s="9"/>
      <c r="J28" s="9"/>
      <c r="K28" s="9"/>
      <c r="L28" s="9"/>
      <c r="M28" s="9"/>
      <c r="N28" s="9"/>
      <c r="V28" s="12">
        <v>28</v>
      </c>
      <c r="W28" s="18" t="str">
        <v/>
      </c>
      <c r="X28" s="23">
        <v>0.85</v>
      </c>
    </row>
    <row r="29" spans="1:24" ht="15" thickBot="1" x14ac:dyDescent="0.4">
      <c r="F29" s="1" t="s">
        <v>22</v>
      </c>
      <c r="G29" s="9"/>
      <c r="H29" s="9"/>
      <c r="I29" s="9"/>
      <c r="J29" s="9"/>
      <c r="K29" s="9"/>
      <c r="L29" s="9"/>
      <c r="M29" s="9"/>
      <c r="N29" s="9"/>
      <c r="V29" s="12">
        <v>29</v>
      </c>
      <c r="W29" s="18" t="str">
        <v/>
      </c>
      <c r="X29" s="23">
        <v>0.85</v>
      </c>
    </row>
    <row r="30" spans="1:24" ht="15" thickBot="1" x14ac:dyDescent="0.4">
      <c r="F30" s="1" t="s">
        <v>23</v>
      </c>
      <c r="G30" s="10"/>
      <c r="H30" s="10"/>
      <c r="I30" s="10"/>
      <c r="J30" s="10"/>
      <c r="K30" s="10"/>
      <c r="L30" s="10"/>
      <c r="M30" s="10"/>
      <c r="N30" s="10"/>
      <c r="V30" s="12">
        <v>30</v>
      </c>
      <c r="W30" s="18" t="str">
        <v/>
      </c>
      <c r="X30" s="23">
        <v>0.85</v>
      </c>
    </row>
    <row r="31" spans="1:24" x14ac:dyDescent="0.35">
      <c r="V31" s="12">
        <v>31</v>
      </c>
      <c r="W31" s="18" t="str">
        <v/>
      </c>
      <c r="X31" s="23">
        <v>0.85</v>
      </c>
    </row>
    <row r="32" spans="1:24" x14ac:dyDescent="0.35">
      <c r="V32" s="12">
        <v>32</v>
      </c>
      <c r="W32" s="19" t="str">
        <v/>
      </c>
      <c r="X32" s="23">
        <v>0.85</v>
      </c>
    </row>
    <row r="33" spans="22:24" x14ac:dyDescent="0.35">
      <c r="V33" s="12">
        <v>33</v>
      </c>
      <c r="W33" s="19" t="str">
        <v/>
      </c>
      <c r="X33" s="23">
        <v>0.85</v>
      </c>
    </row>
    <row r="34" spans="22:24" x14ac:dyDescent="0.35">
      <c r="V34" s="12">
        <v>34</v>
      </c>
      <c r="W34" s="19" t="str">
        <v/>
      </c>
      <c r="X34" s="23">
        <v>0.85</v>
      </c>
    </row>
    <row r="35" spans="22:24" x14ac:dyDescent="0.35">
      <c r="V35" s="12">
        <v>35</v>
      </c>
      <c r="W35" s="19" t="str">
        <v/>
      </c>
      <c r="X35" s="23">
        <v>0.85</v>
      </c>
    </row>
    <row r="36" spans="22:24" x14ac:dyDescent="0.35">
      <c r="V36" s="12">
        <v>36</v>
      </c>
      <c r="W36" s="19" t="str">
        <v/>
      </c>
      <c r="X36" s="23">
        <v>0.85</v>
      </c>
    </row>
    <row r="37" spans="22:24" x14ac:dyDescent="0.35">
      <c r="V37" s="12">
        <v>37</v>
      </c>
      <c r="W37" s="19" t="str">
        <v/>
      </c>
      <c r="X37" s="23">
        <v>0.85</v>
      </c>
    </row>
    <row r="38" spans="22:24" x14ac:dyDescent="0.35">
      <c r="V38" s="12">
        <v>38</v>
      </c>
      <c r="W38" s="19" t="str">
        <v/>
      </c>
      <c r="X38" s="23">
        <v>0.85</v>
      </c>
    </row>
    <row r="39" spans="22:24" x14ac:dyDescent="0.35">
      <c r="V39" s="12">
        <v>39</v>
      </c>
      <c r="W39" s="19" t="str">
        <v/>
      </c>
      <c r="X39" s="23">
        <v>0.85</v>
      </c>
    </row>
    <row r="40" spans="22:24" x14ac:dyDescent="0.35">
      <c r="V40" s="12">
        <v>40</v>
      </c>
      <c r="W40" s="19" t="str">
        <v/>
      </c>
      <c r="X40" s="23">
        <v>0.85</v>
      </c>
    </row>
    <row r="41" spans="22:24" x14ac:dyDescent="0.35">
      <c r="V41" s="12">
        <v>41</v>
      </c>
      <c r="W41" s="19" t="str">
        <v/>
      </c>
      <c r="X41" s="23">
        <v>0.85</v>
      </c>
    </row>
    <row r="42" spans="22:24" x14ac:dyDescent="0.35">
      <c r="V42" s="12">
        <v>42</v>
      </c>
      <c r="W42" s="19" t="str">
        <v/>
      </c>
      <c r="X42" s="23">
        <v>0.85</v>
      </c>
    </row>
    <row r="43" spans="22:24" x14ac:dyDescent="0.35">
      <c r="V43" s="12">
        <v>43</v>
      </c>
      <c r="W43" s="19" t="str">
        <v/>
      </c>
      <c r="X43" s="23">
        <v>0.85</v>
      </c>
    </row>
    <row r="44" spans="22:24" x14ac:dyDescent="0.35">
      <c r="V44" s="12">
        <v>44</v>
      </c>
      <c r="W44" s="19" t="str">
        <v/>
      </c>
      <c r="X44" s="23">
        <v>0.85</v>
      </c>
    </row>
    <row r="45" spans="22:24" x14ac:dyDescent="0.35">
      <c r="V45" s="12">
        <v>45</v>
      </c>
      <c r="W45" s="19" t="str">
        <v/>
      </c>
      <c r="X45" s="23">
        <v>0.85</v>
      </c>
    </row>
    <row r="46" spans="22:24" x14ac:dyDescent="0.35">
      <c r="V46" s="12">
        <v>46</v>
      </c>
      <c r="W46" s="19" t="str">
        <v/>
      </c>
      <c r="X46" s="23">
        <v>0.85</v>
      </c>
    </row>
    <row r="47" spans="22:24" x14ac:dyDescent="0.35">
      <c r="V47" s="12">
        <v>47</v>
      </c>
      <c r="W47" s="19" t="str">
        <v/>
      </c>
      <c r="X47" s="23">
        <v>0.85</v>
      </c>
    </row>
    <row r="48" spans="22:24" x14ac:dyDescent="0.35">
      <c r="V48" s="12">
        <v>48</v>
      </c>
      <c r="W48" s="19" t="str">
        <v/>
      </c>
      <c r="X48" s="23">
        <v>0.85</v>
      </c>
    </row>
    <row r="49" spans="22:24" x14ac:dyDescent="0.35">
      <c r="V49" s="12">
        <v>49</v>
      </c>
      <c r="W49" s="19" t="str">
        <v/>
      </c>
      <c r="X49" s="23">
        <v>0.85</v>
      </c>
    </row>
    <row r="50" spans="22:24" x14ac:dyDescent="0.35">
      <c r="V50" s="12">
        <v>50</v>
      </c>
      <c r="W50" s="19" t="str">
        <v/>
      </c>
      <c r="X50" s="23">
        <v>0.85</v>
      </c>
    </row>
    <row r="51" spans="22:24" ht="15" thickBot="1" x14ac:dyDescent="0.4">
      <c r="V51" s="13">
        <v>51</v>
      </c>
      <c r="W51" s="20" t="str">
        <v/>
      </c>
      <c r="X51" s="23">
        <v>0.85</v>
      </c>
    </row>
  </sheetData>
  <mergeCells count="2">
    <mergeCell ref="Z1:AH1"/>
    <mergeCell ref="Q20:Q22"/>
  </mergeCells>
  <phoneticPr fontId="2" type="noConversion"/>
  <conditionalFormatting sqref="W2">
    <cfRule type="cellIs" dxfId="1" priority="1" operator="between">
      <formula>0.00000000001</formula>
      <formula>0.799</formula>
    </cfRule>
  </conditionalFormatting>
  <conditionalFormatting sqref="W3:W31">
    <cfRule type="cellIs" dxfId="0" priority="2" operator="between">
      <formula>0.00000000001</formula>
      <formula>0.84999999999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GERFLOR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TETART Yannick</dc:creator>
  <cp:keywords/>
  <dc:description/>
  <cp:lastModifiedBy>TETART Yannick</cp:lastModifiedBy>
  <cp:revision/>
  <dcterms:created xsi:type="dcterms:W3CDTF">2025-10-16T11:10:20Z</dcterms:created>
  <dcterms:modified xsi:type="dcterms:W3CDTF">2026-02-02T06:56:55Z</dcterms:modified>
  <cp:category/>
  <cp:contentStatus/>
</cp:coreProperties>
</file>