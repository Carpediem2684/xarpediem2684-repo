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82" documentId="8_{9BF04A69-4985-425F-A60E-410698EC9913}" xr6:coauthVersionLast="47" xr6:coauthVersionMax="47" xr10:uidLastSave="{80484B81-ED0B-4C6B-8BD7-F3000BF383C5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W3" i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F3" i="1"/>
  <c r="AG3" i="1"/>
  <c r="AH3" i="1"/>
  <c r="AB3" i="1"/>
  <c r="AA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<sst xmlns="http://schemas.openxmlformats.org/spreadsheetml/2006/main" count="59" uniqueCount="27">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</sst>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>
        <row r="11">
          <cell r="AH11">
            <v>1791.2</v>
          </cell>
        </row>
        <row r="12">
          <cell r="AH12">
            <v>5474.4</v>
          </cell>
        </row>
        <row r="13">
          <cell r="AH13">
            <v>5216.8</v>
          </cell>
        </row>
        <row r="14">
          <cell r="AH14">
            <v>2468</v>
          </cell>
        </row>
        <row r="15">
          <cell r="AH15">
            <v>2598.4</v>
          </cell>
        </row>
        <row r="16">
          <cell r="AH16">
            <v>2624.8</v>
          </cell>
        </row>
        <row r="17">
          <cell r="AH17">
            <v>2468</v>
          </cell>
        </row>
        <row r="18">
          <cell r="AH18">
            <v>2386</v>
          </cell>
        </row>
        <row r="19">
          <cell r="AH19">
            <v>2484</v>
          </cell>
        </row>
        <row r="20">
          <cell r="AH20">
            <v>2396</v>
          </cell>
        </row>
        <row r="21">
          <cell r="AH21">
            <v>94.4</v>
          </cell>
        </row>
        <row r="22">
          <cell r="AH22">
            <v>0</v>
          </cell>
        </row>
      </sheetData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0.16666666666666666</v>
          </cell>
        </row>
        <row r="3">
          <cell r="H3" t="str">
            <v/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I6" sqref="I6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5" t="s">
        <v>26</v>
      </c>
      <c r="AA1" s="26"/>
      <c r="AB1" s="26"/>
      <c r="AC1" s="26"/>
      <c r="AD1" s="26"/>
      <c r="AE1" s="26"/>
      <c r="AF1" s="26"/>
      <c r="AG1" s="26"/>
      <c r="AH1" s="27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7</v>
      </c>
      <c r="S2" s="2" t="s">
        <v>11</v>
      </c>
      <c r="T2" s="2">
        <v>77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31">
        <f>SUM([1]Base!$AH$11:$AH$3000)/1000</f>
        <v>30.001999999999999</v>
      </c>
      <c r="C3" s="3">
        <v>577</v>
      </c>
      <c r="F3" s="1" t="s">
        <v>12</v>
      </c>
      <c r="G3" s="8"/>
      <c r="H3" s="8">
        <v>30</v>
      </c>
      <c r="I3" s="8"/>
      <c r="J3" s="8"/>
      <c r="K3" s="8"/>
      <c r="L3" s="8"/>
      <c r="M3" s="8"/>
      <c r="N3" s="8"/>
      <c r="V3" s="14">
        <v>2</v>
      </c>
      <c r="W3" s="17" cm="1">
        <f t="array" ref="W3:W51">'[1]Taux d adhérence'!$H$2:$H$50</f>
        <v>0.16666666666666666</v>
      </c>
      <c r="X3" s="23">
        <v>0.85</v>
      </c>
      <c r="Z3" s="1" t="s">
        <v>12</v>
      </c>
      <c r="AA3" s="28">
        <f>'[1]Base Pic'!C2-G3</f>
        <v>54</v>
      </c>
      <c r="AB3" s="28">
        <f>'[1]Base Pic'!D2-H3</f>
        <v>56</v>
      </c>
      <c r="AC3" s="28">
        <f>'[1]Base Pic'!E2-I3</f>
        <v>92</v>
      </c>
      <c r="AD3" s="28">
        <f>'[1]Base Pic'!F2-J3</f>
        <v>169</v>
      </c>
      <c r="AE3" s="28">
        <f>'[1]Base Pic'!G2-K3</f>
        <v>47</v>
      </c>
      <c r="AF3" s="28">
        <f>'[1]Base Pic'!H2-L3</f>
        <v>39</v>
      </c>
      <c r="AG3" s="28">
        <f>'[1]Base Pic'!I2-M3</f>
        <v>30</v>
      </c>
      <c r="AH3" s="28">
        <f>'[1]Base Pic'!J2-N3</f>
        <v>60</v>
      </c>
    </row>
    <row r="4" spans="1:34" ht="15" thickBot="1" x14ac:dyDescent="0.4">
      <c r="A4" s="1" t="s">
        <v>13</v>
      </c>
      <c r="B4" s="31"/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 t="str">
        <v/>
      </c>
      <c r="X4" s="23">
        <v>0.85</v>
      </c>
      <c r="Z4" s="1" t="s">
        <v>13</v>
      </c>
      <c r="AA4" s="28">
        <f>'[1]Base Pic'!C3-G4</f>
        <v>65</v>
      </c>
      <c r="AB4" s="28">
        <f>'[1]Base Pic'!D3-H4</f>
        <v>93</v>
      </c>
      <c r="AC4" s="28">
        <f>'[1]Base Pic'!E3-I4</f>
        <v>90</v>
      </c>
      <c r="AD4" s="28">
        <f>'[1]Base Pic'!F3-J4</f>
        <v>155</v>
      </c>
      <c r="AE4" s="28">
        <f>'[1]Base Pic'!G3-K4</f>
        <v>38</v>
      </c>
      <c r="AF4" s="28">
        <f>'[1]Base Pic'!H3-L4</f>
        <v>38</v>
      </c>
      <c r="AG4" s="28">
        <f>'[1]Base Pic'!I3-M4</f>
        <v>20</v>
      </c>
      <c r="AH4" s="28">
        <f>'[1]Base Pic'!J3-N4</f>
        <v>80</v>
      </c>
    </row>
    <row r="5" spans="1:34" ht="15" thickBot="1" x14ac:dyDescent="0.4">
      <c r="A5" s="1" t="s">
        <v>14</v>
      </c>
      <c r="B5" s="31"/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8">
        <f>'[1]Base Pic'!C4-G5</f>
        <v>48</v>
      </c>
      <c r="AB5" s="28">
        <f>'[1]Base Pic'!D4-H5</f>
        <v>121</v>
      </c>
      <c r="AC5" s="28">
        <f>'[1]Base Pic'!E4-I5</f>
        <v>106</v>
      </c>
      <c r="AD5" s="28">
        <f>'[1]Base Pic'!F4-J5</f>
        <v>190</v>
      </c>
      <c r="AE5" s="28">
        <f>'[1]Base Pic'!G4-K5</f>
        <v>55</v>
      </c>
      <c r="AF5" s="28">
        <f>'[1]Base Pic'!H4-L5</f>
        <v>37</v>
      </c>
      <c r="AG5" s="28">
        <f>'[1]Base Pic'!I4-M5</f>
        <v>30</v>
      </c>
      <c r="AH5" s="28">
        <f>'[1]Base Pic'!J4-N5</f>
        <v>70</v>
      </c>
    </row>
    <row r="6" spans="1:34" ht="15" thickBot="1" x14ac:dyDescent="0.4">
      <c r="A6" s="1" t="s">
        <v>15</v>
      </c>
      <c r="B6" s="31"/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8">
        <f>'[1]Base Pic'!C5-G6</f>
        <v>37</v>
      </c>
      <c r="AB6" s="28">
        <f>'[1]Base Pic'!D5-H6</f>
        <v>67</v>
      </c>
      <c r="AC6" s="28">
        <f>'[1]Base Pic'!E5-I6</f>
        <v>82</v>
      </c>
      <c r="AD6" s="28">
        <f>'[1]Base Pic'!F5-J6</f>
        <v>120</v>
      </c>
      <c r="AE6" s="28">
        <f>'[1]Base Pic'!G5-K6</f>
        <v>48</v>
      </c>
      <c r="AF6" s="28">
        <f>'[1]Base Pic'!H5-L6</f>
        <v>33</v>
      </c>
      <c r="AG6" s="28">
        <f>'[1]Base Pic'!I5-M6</f>
        <v>30</v>
      </c>
      <c r="AH6" s="28">
        <f>'[1]Base Pic'!J5-N6</f>
        <v>70</v>
      </c>
    </row>
    <row r="7" spans="1:34" ht="15" thickBot="1" x14ac:dyDescent="0.4">
      <c r="A7" s="1" t="s">
        <v>16</v>
      </c>
      <c r="B7" s="31"/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8">
        <f>'[1]Base Pic'!C6-G7</f>
        <v>34</v>
      </c>
      <c r="AB7" s="28">
        <f>'[1]Base Pic'!D6-H7</f>
        <v>62</v>
      </c>
      <c r="AC7" s="28">
        <f>'[1]Base Pic'!E6-I7</f>
        <v>59</v>
      </c>
      <c r="AD7" s="28">
        <f>'[1]Base Pic'!F6-J7</f>
        <v>153</v>
      </c>
      <c r="AE7" s="28">
        <f>'[1]Base Pic'!G6-K7</f>
        <v>33</v>
      </c>
      <c r="AF7" s="28">
        <f>'[1]Base Pic'!H6-L7</f>
        <v>22</v>
      </c>
      <c r="AG7" s="28">
        <f>'[1]Base Pic'!I6-M7</f>
        <v>30</v>
      </c>
      <c r="AH7" s="28">
        <f>'[1]Base Pic'!J6-N7</f>
        <v>80</v>
      </c>
    </row>
    <row r="8" spans="1:34" ht="15" thickBot="1" x14ac:dyDescent="0.4">
      <c r="A8" s="1" t="s">
        <v>17</v>
      </c>
      <c r="B8" s="31"/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8">
        <f>'[1]Base Pic'!C7-G8</f>
        <v>38</v>
      </c>
      <c r="AB8" s="28">
        <f>'[1]Base Pic'!D7-H8</f>
        <v>87</v>
      </c>
      <c r="AC8" s="28">
        <f>'[1]Base Pic'!E7-I8</f>
        <v>119</v>
      </c>
      <c r="AD8" s="28">
        <f>'[1]Base Pic'!F7-J8</f>
        <v>211</v>
      </c>
      <c r="AE8" s="28">
        <f>'[1]Base Pic'!G7-K8</f>
        <v>55</v>
      </c>
      <c r="AF8" s="28">
        <f>'[1]Base Pic'!H7-L8</f>
        <v>38</v>
      </c>
      <c r="AG8" s="28">
        <f>'[1]Base Pic'!I7-M8</f>
        <v>40</v>
      </c>
      <c r="AH8" s="28">
        <f>'[1]Base Pic'!J7-N8</f>
        <v>70</v>
      </c>
    </row>
    <row r="9" spans="1:34" ht="15" thickBot="1" x14ac:dyDescent="0.4">
      <c r="A9" s="1" t="s">
        <v>18</v>
      </c>
      <c r="B9" s="31"/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8">
        <f>'[1]Base Pic'!C8-G9</f>
        <v>42</v>
      </c>
      <c r="AB9" s="28">
        <f>'[1]Base Pic'!D8-H9</f>
        <v>83</v>
      </c>
      <c r="AC9" s="28">
        <f>'[1]Base Pic'!E8-I9</f>
        <v>98</v>
      </c>
      <c r="AD9" s="28">
        <f>'[1]Base Pic'!F8-J9</f>
        <v>164</v>
      </c>
      <c r="AE9" s="28">
        <f>'[1]Base Pic'!G8-K9</f>
        <v>64</v>
      </c>
      <c r="AF9" s="28">
        <f>'[1]Base Pic'!H8-L9</f>
        <v>36</v>
      </c>
      <c r="AG9" s="28">
        <f>'[1]Base Pic'!I8-M9</f>
        <v>40</v>
      </c>
      <c r="AH9" s="28">
        <f>'[1]Base Pic'!J8-N9</f>
        <v>80</v>
      </c>
    </row>
    <row r="10" spans="1:34" ht="15" thickBot="1" x14ac:dyDescent="0.4">
      <c r="A10" s="1" t="s">
        <v>19</v>
      </c>
      <c r="B10" s="31"/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8">
        <f>'[1]Base Pic'!C9-G10</f>
        <v>0</v>
      </c>
      <c r="AB10" s="28">
        <f>'[1]Base Pic'!D9-H10</f>
        <v>0</v>
      </c>
      <c r="AC10" s="28">
        <f>'[1]Base Pic'!E9-I10</f>
        <v>0</v>
      </c>
      <c r="AD10" s="28">
        <f>'[1]Base Pic'!F9-J10</f>
        <v>167</v>
      </c>
      <c r="AE10" s="28">
        <f>'[1]Base Pic'!G9-K10</f>
        <v>0</v>
      </c>
      <c r="AF10" s="28">
        <f>'[1]Base Pic'!H9-L10</f>
        <v>0</v>
      </c>
      <c r="AG10" s="28">
        <f>'[1]Base Pic'!I9-M10</f>
        <v>0</v>
      </c>
      <c r="AH10" s="28">
        <f>'[1]Base Pic'!J9-N10</f>
        <v>0</v>
      </c>
    </row>
    <row r="11" spans="1:34" ht="15" thickBot="1" x14ac:dyDescent="0.4">
      <c r="A11" s="1" t="s">
        <v>20</v>
      </c>
      <c r="B11" s="31"/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8">
        <f>'[1]Base Pic'!C10-G11</f>
        <v>55</v>
      </c>
      <c r="AB11" s="28">
        <f>'[1]Base Pic'!D10-H11</f>
        <v>105</v>
      </c>
      <c r="AC11" s="28">
        <f>'[1]Base Pic'!E10-I11</f>
        <v>109</v>
      </c>
      <c r="AD11" s="28">
        <f>'[1]Base Pic'!F10-J11</f>
        <v>177</v>
      </c>
      <c r="AE11" s="28">
        <f>'[1]Base Pic'!G10-K11</f>
        <v>54</v>
      </c>
      <c r="AF11" s="28">
        <f>'[1]Base Pic'!H10-L11</f>
        <v>35</v>
      </c>
      <c r="AG11" s="28">
        <f>'[1]Base Pic'!I10-M11</f>
        <v>30</v>
      </c>
      <c r="AH11" s="28">
        <f>'[1]Base Pic'!J10-N11</f>
        <v>70</v>
      </c>
    </row>
    <row r="12" spans="1:34" ht="15" thickBot="1" x14ac:dyDescent="0.4">
      <c r="A12" s="1" t="s">
        <v>21</v>
      </c>
      <c r="B12" s="31"/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8">
        <f>'[1]Base Pic'!C11-G12</f>
        <v>64</v>
      </c>
      <c r="AB12" s="28">
        <f>'[1]Base Pic'!D11-H12</f>
        <v>106</v>
      </c>
      <c r="AC12" s="28">
        <f>'[1]Base Pic'!E11-I12</f>
        <v>89</v>
      </c>
      <c r="AD12" s="28">
        <f>'[1]Base Pic'!F11-J12</f>
        <v>184</v>
      </c>
      <c r="AE12" s="28">
        <f>'[1]Base Pic'!G11-K12</f>
        <v>53</v>
      </c>
      <c r="AF12" s="28">
        <f>'[1]Base Pic'!H11-L12</f>
        <v>33</v>
      </c>
      <c r="AG12" s="28">
        <f>'[1]Base Pic'!I11-M12</f>
        <v>30</v>
      </c>
      <c r="AH12" s="28">
        <f>'[1]Base Pic'!J11-N12</f>
        <v>80</v>
      </c>
    </row>
    <row r="13" spans="1:34" ht="15" thickBot="1" x14ac:dyDescent="0.4">
      <c r="A13" s="1" t="s">
        <v>22</v>
      </c>
      <c r="B13" s="31"/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9">
        <f>'[1]Base Pic'!C12-G13</f>
        <v>57</v>
      </c>
      <c r="AB13" s="29">
        <f>'[1]Base Pic'!D12-H13</f>
        <v>88</v>
      </c>
      <c r="AC13" s="29">
        <f>'[1]Base Pic'!E12-I13</f>
        <v>87</v>
      </c>
      <c r="AD13" s="29">
        <f>'[1]Base Pic'!F12-J13</f>
        <v>179</v>
      </c>
      <c r="AE13" s="29">
        <f>'[1]Base Pic'!G12-K13</f>
        <v>54</v>
      </c>
      <c r="AF13" s="29">
        <f>'[1]Base Pic'!H12-L13</f>
        <v>27</v>
      </c>
      <c r="AG13" s="29">
        <f>'[1]Base Pic'!I12-M13</f>
        <v>20</v>
      </c>
      <c r="AH13" s="29">
        <f>'[1]Base Pic'!J12-N13</f>
        <v>50</v>
      </c>
    </row>
    <row r="14" spans="1:34" ht="15" thickBot="1" x14ac:dyDescent="0.4">
      <c r="A14" s="1" t="s">
        <v>23</v>
      </c>
      <c r="B14" s="31"/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30">
        <f>'[1]Base Pic'!C13-G14</f>
        <v>43</v>
      </c>
      <c r="AB14" s="30">
        <f>'[1]Base Pic'!D13-H14</f>
        <v>60</v>
      </c>
      <c r="AC14" s="30">
        <f>'[1]Base Pic'!E13-I14</f>
        <v>90</v>
      </c>
      <c r="AD14" s="30">
        <f>'[1]Base Pic'!F13-J14</f>
        <v>110</v>
      </c>
      <c r="AE14" s="30">
        <f>'[1]Base Pic'!G13-K14</f>
        <v>40</v>
      </c>
      <c r="AF14" s="30">
        <f>'[1]Base Pic'!H13-L14</f>
        <v>22</v>
      </c>
      <c r="AG14" s="30">
        <f>'[1]Base Pic'!I13-M14</f>
        <v>0</v>
      </c>
      <c r="AH14" s="30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2026-01-08T07:21:16Z</dcterms:modified>
  <cp:category/>
  <cp:contentStatus/>
</cp:coreProperties>
</file>