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206" documentId="8_{9BF04A69-4985-425F-A60E-410698EC9913}" xr6:coauthVersionLast="47" xr6:coauthVersionMax="47" xr10:uidLastSave="{322B34B9-C890-40E3-B06C-51F07F24261D}"/>
  <bookViews>
    <workbookView xWindow="-28920" yWindow="795" windowWidth="29040" windowHeight="15720" xr2:uid="{2923B22B-957A-4C01-9BE6-B7BCC6DA9E23}"/>
  </bookViews>
  <sheets>
    <sheet name="2025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  <c r="B13" i="1"/>
  <c r="B14" i="1"/>
  <c r="B3" i="1"/>
  <c r="W3" i="1" l="1" a="1"/>
  <c r="W3" i="1" s="1"/>
  <c r="AF3" i="1"/>
  <c r="AB4" i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  <c r="AC3" i="1"/>
  <c r="AD3" i="1"/>
  <c r="AE3" i="1"/>
  <c r="AG3" i="1"/>
  <c r="AH3" i="1"/>
  <c r="AB3" i="1"/>
  <c r="AA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<sst xmlns="http://schemas.openxmlformats.org/spreadsheetml/2006/main" count="59" uniqueCount="27">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</sst>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2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9" xfId="2" applyFont="1" applyBorder="1" applyAlignment="1">
      <alignment horizontal="center" vertical="center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Métrage imp"/>
    </sheetNames>
    <sheetDataSet>
      <sheetData sheetId="0"/>
      <sheetData sheetId="1">
        <row r="2">
          <cell r="C2">
            <v>54</v>
          </cell>
          <cell r="D2">
            <v>86</v>
          </cell>
          <cell r="E2">
            <v>92</v>
          </cell>
          <cell r="F2">
            <v>169</v>
          </cell>
          <cell r="G2">
            <v>47</v>
          </cell>
          <cell r="H2">
            <v>39</v>
          </cell>
          <cell r="I2">
            <v>30</v>
          </cell>
          <cell r="J2">
            <v>60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0.44444444444444442</v>
          </cell>
        </row>
        <row r="3">
          <cell r="H3">
            <v>0.35135135135135137</v>
          </cell>
        </row>
        <row r="4">
          <cell r="H4" t="str">
            <v/>
          </cell>
        </row>
        <row r="5">
          <cell r="H5" t="str">
            <v/>
          </cell>
        </row>
        <row r="6">
          <cell r="H6" t="str">
            <v/>
          </cell>
        </row>
        <row r="7">
          <cell r="H7" t="str">
            <v/>
          </cell>
        </row>
        <row r="8">
          <cell r="H8" t="str">
            <v/>
          </cell>
        </row>
        <row r="9">
          <cell r="H9" t="str">
            <v/>
          </cell>
        </row>
        <row r="10">
          <cell r="H10" t="str">
            <v/>
          </cell>
        </row>
        <row r="11">
          <cell r="H11" t="str">
            <v/>
          </cell>
        </row>
        <row r="12">
          <cell r="H12" t="str">
            <v/>
          </cell>
        </row>
        <row r="13">
          <cell r="H13" t="str">
            <v/>
          </cell>
        </row>
        <row r="14">
          <cell r="H14" t="str">
            <v/>
          </cell>
        </row>
        <row r="15">
          <cell r="H15" t="str">
            <v/>
          </cell>
        </row>
        <row r="16">
          <cell r="H16" t="str">
            <v/>
          </cell>
        </row>
        <row r="17">
          <cell r="H17" t="str">
            <v/>
          </cell>
        </row>
        <row r="18">
          <cell r="H18" t="str">
            <v/>
          </cell>
        </row>
        <row r="19">
          <cell r="H19" t="str">
            <v/>
          </cell>
        </row>
        <row r="20">
          <cell r="H20" t="str">
            <v/>
          </cell>
        </row>
        <row r="21">
          <cell r="H21" t="str">
            <v/>
          </cell>
        </row>
        <row r="22">
          <cell r="H22" t="str">
            <v/>
          </cell>
        </row>
        <row r="23">
          <cell r="H23" t="str">
            <v/>
          </cell>
        </row>
        <row r="24">
          <cell r="H24" t="str">
            <v/>
          </cell>
        </row>
        <row r="25">
          <cell r="H25" t="str">
            <v/>
          </cell>
        </row>
        <row r="26">
          <cell r="H26" t="str">
            <v/>
          </cell>
        </row>
        <row r="27">
          <cell r="H27" t="str">
            <v/>
          </cell>
        </row>
        <row r="28">
          <cell r="H28" t="str">
            <v/>
          </cell>
        </row>
        <row r="29">
          <cell r="H29" t="str">
            <v/>
          </cell>
        </row>
        <row r="30">
          <cell r="H30" t="str">
            <v/>
          </cell>
        </row>
        <row r="31">
          <cell r="H31" t="str">
            <v/>
          </cell>
        </row>
        <row r="32">
          <cell r="H32" t="str">
            <v/>
          </cell>
        </row>
        <row r="33">
          <cell r="H33" t="str">
            <v/>
          </cell>
        </row>
        <row r="34">
          <cell r="H34" t="str">
            <v/>
          </cell>
        </row>
        <row r="35">
          <cell r="H35" t="str">
            <v/>
          </cell>
        </row>
        <row r="36">
          <cell r="H36" t="str">
            <v/>
          </cell>
        </row>
        <row r="37">
          <cell r="H37" t="str">
            <v/>
          </cell>
        </row>
        <row r="38">
          <cell r="H38" t="str">
            <v/>
          </cell>
        </row>
        <row r="39">
          <cell r="H39" t="str">
            <v/>
          </cell>
        </row>
        <row r="40">
          <cell r="H40" t="str">
            <v/>
          </cell>
        </row>
        <row r="41">
          <cell r="H41" t="str">
            <v/>
          </cell>
        </row>
        <row r="42">
          <cell r="H42" t="str">
            <v/>
          </cell>
        </row>
        <row r="43">
          <cell r="H43" t="str">
            <v/>
          </cell>
        </row>
        <row r="44">
          <cell r="H44" t="str">
            <v/>
          </cell>
        </row>
        <row r="45">
          <cell r="H45" t="str">
            <v/>
          </cell>
        </row>
        <row r="46">
          <cell r="H46" t="str">
            <v/>
          </cell>
        </row>
        <row r="47">
          <cell r="H47" t="str">
            <v/>
          </cell>
        </row>
        <row r="48">
          <cell r="H48" t="str">
            <v/>
          </cell>
        </row>
        <row r="49">
          <cell r="H49" t="str">
            <v/>
          </cell>
        </row>
        <row r="50">
          <cell r="H50" t="str">
            <v/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workbookViewId="0">
      <selection activeCell="Q19" sqref="Q19"/>
    </sheetView>
  </sheetViews>
  <sheetFormatPr baseColWidth="10" defaultColWidth="11.453125" defaultRowHeight="14.5" x14ac:dyDescent="0.35"/>
  <cols>
    <col min="15" max="18" width="11.453125" customWidth="1"/>
    <col min="19" max="19" width="20.26953125" customWidth="1"/>
    <col min="20" max="22" width="11.453125" customWidth="1"/>
    <col min="23" max="23" width="11.453125" style="15" customWidth="1"/>
    <col min="24" max="24" width="11.453125" style="21" customWidth="1"/>
    <col min="25" max="25" width="11.453125" customWidth="1"/>
    <col min="27" max="27" width="15.90625" bestFit="1" customWidth="1"/>
  </cols>
  <sheetData>
    <row r="1" spans="1:34" ht="15" thickBot="1" x14ac:dyDescent="0.4">
      <c r="Z1" s="29" t="s">
        <v>26</v>
      </c>
      <c r="AA1" s="30"/>
      <c r="AB1" s="30"/>
      <c r="AC1" s="30"/>
      <c r="AD1" s="30"/>
      <c r="AE1" s="30"/>
      <c r="AF1" s="30"/>
      <c r="AG1" s="30"/>
      <c r="AH1" s="31"/>
    </row>
    <row r="2" spans="1:34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4</v>
      </c>
      <c r="S2" s="2" t="s">
        <v>11</v>
      </c>
      <c r="T2" s="2">
        <v>44</v>
      </c>
      <c r="V2" s="7">
        <v>2026</v>
      </c>
      <c r="W2" s="16" t="s">
        <v>24</v>
      </c>
      <c r="X2" s="22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28">
        <f>G3+H3+I3+J3+K3+L3+M3+N3</f>
        <v>136</v>
      </c>
      <c r="C3" s="3">
        <v>577</v>
      </c>
      <c r="F3" s="1" t="s">
        <v>12</v>
      </c>
      <c r="G3" s="8"/>
      <c r="H3" s="8">
        <v>39</v>
      </c>
      <c r="I3" s="8">
        <v>31</v>
      </c>
      <c r="J3" s="8">
        <v>45</v>
      </c>
      <c r="K3" s="8"/>
      <c r="L3" s="8">
        <v>21</v>
      </c>
      <c r="M3" s="8"/>
      <c r="N3" s="8"/>
      <c r="V3" s="14">
        <v>2</v>
      </c>
      <c r="W3" s="17" cm="1">
        <f t="array" aca="1" ref="W3:W51" ca="1">'[1]Taux d adhérence'!$H$2:$H$50</f>
        <v>0.44444444444444442</v>
      </c>
      <c r="X3" s="23">
        <v>0.85</v>
      </c>
      <c r="Z3" s="1" t="s">
        <v>12</v>
      </c>
      <c r="AA3" s="25">
        <f>'[1]Base Pic'!C2-G3</f>
        <v>54</v>
      </c>
      <c r="AB3" s="25">
        <f>'[1]Base Pic'!D2-H3</f>
        <v>47</v>
      </c>
      <c r="AC3" s="25">
        <f>'[1]Base Pic'!E2-I3</f>
        <v>61</v>
      </c>
      <c r="AD3" s="25">
        <f>'[1]Base Pic'!F2-J3</f>
        <v>124</v>
      </c>
      <c r="AE3" s="25">
        <f>'[1]Base Pic'!G2-K3</f>
        <v>47</v>
      </c>
      <c r="AF3" s="25">
        <f>'[1]Base Pic'!H2-L3</f>
        <v>18</v>
      </c>
      <c r="AG3" s="25">
        <f>'[1]Base Pic'!I2-M3</f>
        <v>30</v>
      </c>
      <c r="AH3" s="25">
        <f>'[1]Base Pic'!J2-N3</f>
        <v>60</v>
      </c>
    </row>
    <row r="4" spans="1:34" ht="15" thickBot="1" x14ac:dyDescent="0.4">
      <c r="A4" s="1" t="s">
        <v>13</v>
      </c>
      <c r="B4" s="28">
        <f t="shared" ref="B4:B14" si="0">G4+H4+I4+J4+K4+L4+M4+N4</f>
        <v>0</v>
      </c>
      <c r="C4" s="3">
        <v>579</v>
      </c>
      <c r="F4" s="1" t="s">
        <v>13</v>
      </c>
      <c r="G4" s="9"/>
      <c r="H4" s="9"/>
      <c r="I4" s="9"/>
      <c r="J4" s="9"/>
      <c r="K4" s="9"/>
      <c r="L4" s="9"/>
      <c r="M4" s="9"/>
      <c r="N4" s="9"/>
      <c r="V4" s="12">
        <v>3</v>
      </c>
      <c r="W4" s="18">
        <f ca="1"/>
        <v>0.35135135135135137</v>
      </c>
      <c r="X4" s="23">
        <v>0.85</v>
      </c>
      <c r="Z4" s="1" t="s">
        <v>13</v>
      </c>
      <c r="AA4" s="25">
        <f>'[1]Base Pic'!C3-G4</f>
        <v>65</v>
      </c>
      <c r="AB4" s="25">
        <f>'[1]Base Pic'!D3-H4</f>
        <v>93</v>
      </c>
      <c r="AC4" s="25">
        <f>'[1]Base Pic'!E3-I4</f>
        <v>90</v>
      </c>
      <c r="AD4" s="25">
        <f>'[1]Base Pic'!F3-J4</f>
        <v>155</v>
      </c>
      <c r="AE4" s="25">
        <f>'[1]Base Pic'!G3-K4</f>
        <v>38</v>
      </c>
      <c r="AF4" s="25">
        <f>'[1]Base Pic'!H3-L4</f>
        <v>38</v>
      </c>
      <c r="AG4" s="25">
        <f>'[1]Base Pic'!I3-M4</f>
        <v>20</v>
      </c>
      <c r="AH4" s="25">
        <f>'[1]Base Pic'!J3-N4</f>
        <v>80</v>
      </c>
    </row>
    <row r="5" spans="1:34" ht="15" thickBot="1" x14ac:dyDescent="0.4">
      <c r="A5" s="1" t="s">
        <v>14</v>
      </c>
      <c r="B5" s="28">
        <f t="shared" si="0"/>
        <v>0</v>
      </c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8" t="str">
        <f ca="1"/>
        <v/>
      </c>
      <c r="X5" s="23">
        <v>0.85</v>
      </c>
      <c r="Z5" s="1" t="s">
        <v>14</v>
      </c>
      <c r="AA5" s="25">
        <f>'[1]Base Pic'!C4-G5</f>
        <v>48</v>
      </c>
      <c r="AB5" s="25">
        <f>'[1]Base Pic'!D4-H5</f>
        <v>121</v>
      </c>
      <c r="AC5" s="25">
        <f>'[1]Base Pic'!E4-I5</f>
        <v>106</v>
      </c>
      <c r="AD5" s="25">
        <f>'[1]Base Pic'!F4-J5</f>
        <v>190</v>
      </c>
      <c r="AE5" s="25">
        <f>'[1]Base Pic'!G4-K5</f>
        <v>55</v>
      </c>
      <c r="AF5" s="25">
        <f>'[1]Base Pic'!H4-L5</f>
        <v>37</v>
      </c>
      <c r="AG5" s="25">
        <f>'[1]Base Pic'!I4-M5</f>
        <v>30</v>
      </c>
      <c r="AH5" s="25">
        <f>'[1]Base Pic'!J4-N5</f>
        <v>70</v>
      </c>
    </row>
    <row r="6" spans="1:34" ht="15" thickBot="1" x14ac:dyDescent="0.4">
      <c r="A6" s="1" t="s">
        <v>15</v>
      </c>
      <c r="B6" s="28">
        <f t="shared" si="0"/>
        <v>0</v>
      </c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8" t="str">
        <f ca="1"/>
        <v/>
      </c>
      <c r="X6" s="23">
        <v>0.85</v>
      </c>
      <c r="Z6" s="1" t="s">
        <v>15</v>
      </c>
      <c r="AA6" s="25">
        <f>'[1]Base Pic'!C5-G6</f>
        <v>37</v>
      </c>
      <c r="AB6" s="25">
        <f>'[1]Base Pic'!D5-H6</f>
        <v>67</v>
      </c>
      <c r="AC6" s="25">
        <f>'[1]Base Pic'!E5-I6</f>
        <v>82</v>
      </c>
      <c r="AD6" s="25">
        <f>'[1]Base Pic'!F5-J6</f>
        <v>120</v>
      </c>
      <c r="AE6" s="25">
        <f>'[1]Base Pic'!G5-K6</f>
        <v>48</v>
      </c>
      <c r="AF6" s="25">
        <f>'[1]Base Pic'!H5-L6</f>
        <v>33</v>
      </c>
      <c r="AG6" s="25">
        <f>'[1]Base Pic'!I5-M6</f>
        <v>30</v>
      </c>
      <c r="AH6" s="25">
        <f>'[1]Base Pic'!J5-N6</f>
        <v>70</v>
      </c>
    </row>
    <row r="7" spans="1:34" ht="15" thickBot="1" x14ac:dyDescent="0.4">
      <c r="A7" s="1" t="s">
        <v>16</v>
      </c>
      <c r="B7" s="28">
        <f t="shared" si="0"/>
        <v>0</v>
      </c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8" t="str">
        <f ca="1"/>
        <v/>
      </c>
      <c r="X7" s="23">
        <v>0.85</v>
      </c>
      <c r="Z7" s="1" t="s">
        <v>16</v>
      </c>
      <c r="AA7" s="25">
        <f>'[1]Base Pic'!C6-G7</f>
        <v>34</v>
      </c>
      <c r="AB7" s="25">
        <f>'[1]Base Pic'!D6-H7</f>
        <v>62</v>
      </c>
      <c r="AC7" s="25">
        <f>'[1]Base Pic'!E6-I7</f>
        <v>59</v>
      </c>
      <c r="AD7" s="25">
        <f>'[1]Base Pic'!F6-J7</f>
        <v>153</v>
      </c>
      <c r="AE7" s="25">
        <f>'[1]Base Pic'!G6-K7</f>
        <v>33</v>
      </c>
      <c r="AF7" s="25">
        <f>'[1]Base Pic'!H6-L7</f>
        <v>22</v>
      </c>
      <c r="AG7" s="25">
        <f>'[1]Base Pic'!I6-M7</f>
        <v>30</v>
      </c>
      <c r="AH7" s="25">
        <f>'[1]Base Pic'!J6-N7</f>
        <v>80</v>
      </c>
    </row>
    <row r="8" spans="1:34" ht="15" thickBot="1" x14ac:dyDescent="0.4">
      <c r="A8" s="1" t="s">
        <v>17</v>
      </c>
      <c r="B8" s="28">
        <f t="shared" si="0"/>
        <v>0</v>
      </c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8" t="str">
        <f ca="1"/>
        <v/>
      </c>
      <c r="X8" s="23">
        <v>0.85</v>
      </c>
      <c r="Z8" s="1" t="s">
        <v>17</v>
      </c>
      <c r="AA8" s="25">
        <f>'[1]Base Pic'!C7-G8</f>
        <v>38</v>
      </c>
      <c r="AB8" s="25">
        <f>'[1]Base Pic'!D7-H8</f>
        <v>87</v>
      </c>
      <c r="AC8" s="25">
        <f>'[1]Base Pic'!E7-I8</f>
        <v>119</v>
      </c>
      <c r="AD8" s="25">
        <f>'[1]Base Pic'!F7-J8</f>
        <v>211</v>
      </c>
      <c r="AE8" s="25">
        <f>'[1]Base Pic'!G7-K8</f>
        <v>55</v>
      </c>
      <c r="AF8" s="25">
        <f>'[1]Base Pic'!H7-L8</f>
        <v>38</v>
      </c>
      <c r="AG8" s="25">
        <f>'[1]Base Pic'!I7-M8</f>
        <v>40</v>
      </c>
      <c r="AH8" s="25">
        <f>'[1]Base Pic'!J7-N8</f>
        <v>70</v>
      </c>
    </row>
    <row r="9" spans="1:34" ht="15" thickBot="1" x14ac:dyDescent="0.4">
      <c r="A9" s="1" t="s">
        <v>18</v>
      </c>
      <c r="B9" s="28">
        <f t="shared" si="0"/>
        <v>0</v>
      </c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V9" s="12">
        <v>8</v>
      </c>
      <c r="W9" s="18" t="str">
        <f ca="1"/>
        <v/>
      </c>
      <c r="X9" s="23">
        <v>0.85</v>
      </c>
      <c r="Z9" s="1" t="s">
        <v>18</v>
      </c>
      <c r="AA9" s="25">
        <f>'[1]Base Pic'!C8-G9</f>
        <v>42</v>
      </c>
      <c r="AB9" s="25">
        <f>'[1]Base Pic'!D8-H9</f>
        <v>83</v>
      </c>
      <c r="AC9" s="25">
        <f>'[1]Base Pic'!E8-I9</f>
        <v>98</v>
      </c>
      <c r="AD9" s="25">
        <f>'[1]Base Pic'!F8-J9</f>
        <v>164</v>
      </c>
      <c r="AE9" s="25">
        <f>'[1]Base Pic'!G8-K9</f>
        <v>64</v>
      </c>
      <c r="AF9" s="25">
        <f>'[1]Base Pic'!H8-L9</f>
        <v>36</v>
      </c>
      <c r="AG9" s="25">
        <f>'[1]Base Pic'!I8-M9</f>
        <v>40</v>
      </c>
      <c r="AH9" s="25">
        <f>'[1]Base Pic'!J8-N9</f>
        <v>80</v>
      </c>
    </row>
    <row r="10" spans="1:34" ht="15" thickBot="1" x14ac:dyDescent="0.4">
      <c r="A10" s="1" t="s">
        <v>19</v>
      </c>
      <c r="B10" s="28">
        <f t="shared" si="0"/>
        <v>0</v>
      </c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8" t="str">
        <f ca="1"/>
        <v/>
      </c>
      <c r="X10" s="23">
        <v>0.85</v>
      </c>
      <c r="Z10" s="1" t="s">
        <v>19</v>
      </c>
      <c r="AA10" s="25">
        <f>'[1]Base Pic'!C9-G10</f>
        <v>0</v>
      </c>
      <c r="AB10" s="25">
        <f>'[1]Base Pic'!D9-H10</f>
        <v>0</v>
      </c>
      <c r="AC10" s="25">
        <f>'[1]Base Pic'!E9-I10</f>
        <v>0</v>
      </c>
      <c r="AD10" s="25">
        <f>'[1]Base Pic'!F9-J10</f>
        <v>167</v>
      </c>
      <c r="AE10" s="25">
        <f>'[1]Base Pic'!G9-K10</f>
        <v>0</v>
      </c>
      <c r="AF10" s="25">
        <f>'[1]Base Pic'!H9-L10</f>
        <v>0</v>
      </c>
      <c r="AG10" s="25">
        <f>'[1]Base Pic'!I9-M10</f>
        <v>0</v>
      </c>
      <c r="AH10" s="25">
        <f>'[1]Base Pic'!J9-N10</f>
        <v>0</v>
      </c>
    </row>
    <row r="11" spans="1:34" ht="15" thickBot="1" x14ac:dyDescent="0.4">
      <c r="A11" s="1" t="s">
        <v>20</v>
      </c>
      <c r="B11" s="28">
        <f t="shared" si="0"/>
        <v>0</v>
      </c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8" t="str">
        <f ca="1"/>
        <v/>
      </c>
      <c r="X11" s="23">
        <v>0.85</v>
      </c>
      <c r="Z11" s="1" t="s">
        <v>20</v>
      </c>
      <c r="AA11" s="25">
        <f>'[1]Base Pic'!C10-G11</f>
        <v>55</v>
      </c>
      <c r="AB11" s="25">
        <f>'[1]Base Pic'!D10-H11</f>
        <v>105</v>
      </c>
      <c r="AC11" s="25">
        <f>'[1]Base Pic'!E10-I11</f>
        <v>109</v>
      </c>
      <c r="AD11" s="25">
        <f>'[1]Base Pic'!F10-J11</f>
        <v>177</v>
      </c>
      <c r="AE11" s="25">
        <f>'[1]Base Pic'!G10-K11</f>
        <v>54</v>
      </c>
      <c r="AF11" s="25">
        <f>'[1]Base Pic'!H10-L11</f>
        <v>35</v>
      </c>
      <c r="AG11" s="25">
        <f>'[1]Base Pic'!I10-M11</f>
        <v>30</v>
      </c>
      <c r="AH11" s="25">
        <f>'[1]Base Pic'!J10-N11</f>
        <v>70</v>
      </c>
    </row>
    <row r="12" spans="1:34" ht="15" thickBot="1" x14ac:dyDescent="0.4">
      <c r="A12" s="1" t="s">
        <v>21</v>
      </c>
      <c r="B12" s="28">
        <f t="shared" si="0"/>
        <v>0</v>
      </c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8" t="str">
        <f ca="1"/>
        <v/>
      </c>
      <c r="X12" s="23">
        <v>0.85</v>
      </c>
      <c r="Z12" s="1" t="s">
        <v>21</v>
      </c>
      <c r="AA12" s="25">
        <f>'[1]Base Pic'!C11-G12</f>
        <v>64</v>
      </c>
      <c r="AB12" s="25">
        <f>'[1]Base Pic'!D11-H12</f>
        <v>106</v>
      </c>
      <c r="AC12" s="25">
        <f>'[1]Base Pic'!E11-I12</f>
        <v>89</v>
      </c>
      <c r="AD12" s="25">
        <f>'[1]Base Pic'!F11-J12</f>
        <v>184</v>
      </c>
      <c r="AE12" s="25">
        <f>'[1]Base Pic'!G11-K12</f>
        <v>53</v>
      </c>
      <c r="AF12" s="25">
        <f>'[1]Base Pic'!H11-L12</f>
        <v>33</v>
      </c>
      <c r="AG12" s="25">
        <f>'[1]Base Pic'!I11-M12</f>
        <v>30</v>
      </c>
      <c r="AH12" s="25">
        <f>'[1]Base Pic'!J11-N12</f>
        <v>80</v>
      </c>
    </row>
    <row r="13" spans="1:34" ht="15" thickBot="1" x14ac:dyDescent="0.4">
      <c r="A13" s="1" t="s">
        <v>22</v>
      </c>
      <c r="B13" s="28">
        <f t="shared" si="0"/>
        <v>0</v>
      </c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8" t="str">
        <f ca="1"/>
        <v/>
      </c>
      <c r="X13" s="23">
        <v>0.85</v>
      </c>
      <c r="Z13" s="1" t="s">
        <v>22</v>
      </c>
      <c r="AA13" s="26">
        <f>'[1]Base Pic'!C12-G13</f>
        <v>57</v>
      </c>
      <c r="AB13" s="26">
        <f>'[1]Base Pic'!D12-H13</f>
        <v>88</v>
      </c>
      <c r="AC13" s="26">
        <f>'[1]Base Pic'!E12-I13</f>
        <v>87</v>
      </c>
      <c r="AD13" s="26">
        <f>'[1]Base Pic'!F12-J13</f>
        <v>179</v>
      </c>
      <c r="AE13" s="26">
        <f>'[1]Base Pic'!G12-K13</f>
        <v>54</v>
      </c>
      <c r="AF13" s="26">
        <f>'[1]Base Pic'!H12-L13</f>
        <v>27</v>
      </c>
      <c r="AG13" s="26">
        <f>'[1]Base Pic'!I12-M13</f>
        <v>20</v>
      </c>
      <c r="AH13" s="26">
        <f>'[1]Base Pic'!J12-N13</f>
        <v>50</v>
      </c>
    </row>
    <row r="14" spans="1:34" ht="15" thickBot="1" x14ac:dyDescent="0.4">
      <c r="A14" s="1" t="s">
        <v>23</v>
      </c>
      <c r="B14" s="28">
        <f t="shared" si="0"/>
        <v>0</v>
      </c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8" t="str">
        <f ca="1"/>
        <v/>
      </c>
      <c r="X14" s="23">
        <v>0.85</v>
      </c>
      <c r="Z14" s="1" t="s">
        <v>23</v>
      </c>
      <c r="AA14" s="27">
        <f>'[1]Base Pic'!C13-G14</f>
        <v>43</v>
      </c>
      <c r="AB14" s="27">
        <f>'[1]Base Pic'!D13-H14</f>
        <v>60</v>
      </c>
      <c r="AC14" s="27">
        <f>'[1]Base Pic'!E13-I14</f>
        <v>90</v>
      </c>
      <c r="AD14" s="27">
        <f>'[1]Base Pic'!F13-J14</f>
        <v>110</v>
      </c>
      <c r="AE14" s="27">
        <f>'[1]Base Pic'!G13-K14</f>
        <v>40</v>
      </c>
      <c r="AF14" s="27">
        <f>'[1]Base Pic'!H13-L14</f>
        <v>22</v>
      </c>
      <c r="AG14" s="27">
        <f>'[1]Base Pic'!I13-M14</f>
        <v>0</v>
      </c>
      <c r="AH14" s="27">
        <f>'[1]Base Pic'!J13-N14</f>
        <v>30</v>
      </c>
    </row>
    <row r="15" spans="1:34" ht="15" thickBot="1" x14ac:dyDescent="0.4">
      <c r="A15" s="1"/>
      <c r="B15" s="5"/>
      <c r="C15" s="5"/>
      <c r="V15" s="12">
        <v>14</v>
      </c>
      <c r="W15" s="18" t="str">
        <f ca="1"/>
        <v/>
      </c>
      <c r="X15" s="23">
        <v>0.85</v>
      </c>
    </row>
    <row r="16" spans="1:34" ht="15" thickBot="1" x14ac:dyDescent="0.4">
      <c r="A16" s="24"/>
      <c r="B16" s="8"/>
      <c r="C16" s="8"/>
      <c r="V16" s="12">
        <v>15</v>
      </c>
      <c r="W16" s="18" t="str">
        <f ca="1"/>
        <v/>
      </c>
      <c r="X16" s="23">
        <v>0.85</v>
      </c>
    </row>
    <row r="17" spans="1:24" ht="15" thickBot="1" x14ac:dyDescent="0.4">
      <c r="A17" s="1"/>
      <c r="B17" s="9"/>
      <c r="C17" s="9"/>
      <c r="V17" s="12">
        <v>16</v>
      </c>
      <c r="W17" s="18" t="str">
        <f ca="1"/>
        <v/>
      </c>
      <c r="X17" s="23">
        <v>0.85</v>
      </c>
    </row>
    <row r="18" spans="1:24" ht="15" thickBot="1" x14ac:dyDescent="0.4">
      <c r="A18" s="1"/>
      <c r="B18" s="9"/>
      <c r="C18" s="9"/>
      <c r="V18" s="12">
        <v>17</v>
      </c>
      <c r="W18" s="18" t="str">
        <f ca="1"/>
        <v/>
      </c>
      <c r="X18" s="23">
        <v>0.85</v>
      </c>
    </row>
    <row r="19" spans="1:24" ht="15" thickBot="1" x14ac:dyDescent="0.4">
      <c r="A19" s="1"/>
      <c r="B19" s="9"/>
      <c r="C19" s="9"/>
      <c r="V19" s="12">
        <v>18</v>
      </c>
      <c r="W19" s="18" t="str">
        <f ca="1"/>
        <v/>
      </c>
      <c r="X19" s="23">
        <v>0.85</v>
      </c>
    </row>
    <row r="20" spans="1:24" ht="15" thickBot="1" x14ac:dyDescent="0.4">
      <c r="A20" s="1"/>
      <c r="B20" s="9"/>
      <c r="C20" s="9"/>
      <c r="V20" s="12">
        <v>20</v>
      </c>
      <c r="W20" s="18" t="str">
        <f ca="1"/>
        <v/>
      </c>
      <c r="X20" s="23">
        <v>0.85</v>
      </c>
    </row>
    <row r="21" spans="1:24" ht="15" thickBot="1" x14ac:dyDescent="0.4">
      <c r="A21" s="1"/>
      <c r="B21" s="9"/>
      <c r="C21" s="9"/>
      <c r="V21" s="12">
        <v>21</v>
      </c>
      <c r="W21" s="18" t="str">
        <f ca="1"/>
        <v/>
      </c>
      <c r="X21" s="23">
        <v>0.85</v>
      </c>
    </row>
    <row r="22" spans="1:24" ht="15" thickBot="1" x14ac:dyDescent="0.4">
      <c r="A22" s="1"/>
      <c r="B22" s="9"/>
      <c r="C22" s="9"/>
      <c r="V22" s="12">
        <v>22</v>
      </c>
      <c r="W22" s="18" t="str">
        <f ca="1"/>
        <v/>
      </c>
      <c r="X22" s="23">
        <v>0.85</v>
      </c>
    </row>
    <row r="23" spans="1:24" ht="15" thickBot="1" x14ac:dyDescent="0.4">
      <c r="A23" s="1"/>
      <c r="B23" s="9"/>
      <c r="C23" s="9"/>
      <c r="V23" s="12">
        <v>23</v>
      </c>
      <c r="W23" s="18" t="str">
        <f ca="1"/>
        <v/>
      </c>
      <c r="X23" s="23">
        <v>0.85</v>
      </c>
    </row>
    <row r="24" spans="1:24" ht="15" thickBot="1" x14ac:dyDescent="0.4">
      <c r="A24" s="1"/>
      <c r="B24" s="9"/>
      <c r="C24" s="9"/>
      <c r="V24" s="12">
        <v>24</v>
      </c>
      <c r="W24" s="18" t="str">
        <f ca="1"/>
        <v/>
      </c>
      <c r="X24" s="23">
        <v>0.85</v>
      </c>
    </row>
    <row r="25" spans="1:24" ht="15" thickBot="1" x14ac:dyDescent="0.4">
      <c r="A25" s="1"/>
      <c r="B25" s="9"/>
      <c r="C25" s="9"/>
      <c r="V25" s="12">
        <v>25</v>
      </c>
      <c r="W25" s="18" t="str">
        <f ca="1"/>
        <v/>
      </c>
      <c r="X25" s="23">
        <v>0.85</v>
      </c>
    </row>
    <row r="26" spans="1:24" ht="15" thickBot="1" x14ac:dyDescent="0.4">
      <c r="A26" s="1"/>
      <c r="B26" s="9"/>
      <c r="C26" s="9"/>
      <c r="V26" s="12">
        <v>26</v>
      </c>
      <c r="W26" s="18" t="str">
        <f ca="1"/>
        <v/>
      </c>
      <c r="X26" s="23">
        <v>0.85</v>
      </c>
    </row>
    <row r="27" spans="1:24" ht="15" thickBot="1" x14ac:dyDescent="0.4">
      <c r="A27" s="1"/>
      <c r="B27" s="10"/>
      <c r="C27" s="10"/>
      <c r="V27" s="12">
        <v>27</v>
      </c>
      <c r="W27" s="18" t="str">
        <f ca="1"/>
        <v/>
      </c>
      <c r="X27" s="23">
        <v>0.85</v>
      </c>
    </row>
    <row r="28" spans="1:24" x14ac:dyDescent="0.35">
      <c r="V28" s="12">
        <v>28</v>
      </c>
      <c r="W28" s="18" t="str">
        <f ca="1"/>
        <v/>
      </c>
      <c r="X28" s="23">
        <v>0.85</v>
      </c>
    </row>
    <row r="29" spans="1:24" x14ac:dyDescent="0.35">
      <c r="V29" s="12">
        <v>29</v>
      </c>
      <c r="W29" s="18" t="str">
        <f ca="1"/>
        <v/>
      </c>
      <c r="X29" s="23">
        <v>0.85</v>
      </c>
    </row>
    <row r="30" spans="1:24" x14ac:dyDescent="0.35">
      <c r="V30" s="12">
        <v>30</v>
      </c>
      <c r="W30" s="18" t="str">
        <f ca="1"/>
        <v/>
      </c>
      <c r="X30" s="23">
        <v>0.85</v>
      </c>
    </row>
    <row r="31" spans="1:24" x14ac:dyDescent="0.35">
      <c r="V31" s="12">
        <v>31</v>
      </c>
      <c r="W31" s="18" t="str">
        <f ca="1"/>
        <v/>
      </c>
      <c r="X31" s="23">
        <v>0.85</v>
      </c>
    </row>
    <row r="32" spans="1:24" x14ac:dyDescent="0.35">
      <c r="V32" s="12">
        <v>32</v>
      </c>
      <c r="W32" s="19" t="str">
        <f ca="1"/>
        <v/>
      </c>
      <c r="X32" s="23">
        <v>0.85</v>
      </c>
    </row>
    <row r="33" spans="22:24" x14ac:dyDescent="0.35">
      <c r="V33" s="12">
        <v>33</v>
      </c>
      <c r="W33" s="19" t="str">
        <f ca="1"/>
        <v/>
      </c>
      <c r="X33" s="23">
        <v>0.85</v>
      </c>
    </row>
    <row r="34" spans="22:24" x14ac:dyDescent="0.35">
      <c r="V34" s="12">
        <v>34</v>
      </c>
      <c r="W34" s="19" t="str">
        <f ca="1"/>
        <v/>
      </c>
      <c r="X34" s="23">
        <v>0.85</v>
      </c>
    </row>
    <row r="35" spans="22:24" x14ac:dyDescent="0.35">
      <c r="V35" s="12">
        <v>35</v>
      </c>
      <c r="W35" s="19" t="str">
        <f ca="1"/>
        <v/>
      </c>
      <c r="X35" s="23">
        <v>0.85</v>
      </c>
    </row>
    <row r="36" spans="22:24" x14ac:dyDescent="0.35">
      <c r="V36" s="12">
        <v>36</v>
      </c>
      <c r="W36" s="19" t="str">
        <f ca="1"/>
        <v/>
      </c>
      <c r="X36" s="23">
        <v>0.85</v>
      </c>
    </row>
    <row r="37" spans="22:24" x14ac:dyDescent="0.35">
      <c r="V37" s="12">
        <v>37</v>
      </c>
      <c r="W37" s="19" t="str">
        <f ca="1"/>
        <v/>
      </c>
      <c r="X37" s="23">
        <v>0.85</v>
      </c>
    </row>
    <row r="38" spans="22:24" x14ac:dyDescent="0.35">
      <c r="V38" s="12">
        <v>38</v>
      </c>
      <c r="W38" s="19" t="str">
        <f ca="1"/>
        <v/>
      </c>
      <c r="X38" s="23">
        <v>0.85</v>
      </c>
    </row>
    <row r="39" spans="22:24" x14ac:dyDescent="0.35">
      <c r="V39" s="12">
        <v>39</v>
      </c>
      <c r="W39" s="19" t="str">
        <f ca="1"/>
        <v/>
      </c>
      <c r="X39" s="23">
        <v>0.85</v>
      </c>
    </row>
    <row r="40" spans="22:24" x14ac:dyDescent="0.35">
      <c r="V40" s="12">
        <v>40</v>
      </c>
      <c r="W40" s="19" t="str">
        <f ca="1"/>
        <v/>
      </c>
      <c r="X40" s="23">
        <v>0.85</v>
      </c>
    </row>
    <row r="41" spans="22:24" x14ac:dyDescent="0.35">
      <c r="V41" s="12">
        <v>41</v>
      </c>
      <c r="W41" s="19" t="str">
        <f ca="1"/>
        <v/>
      </c>
      <c r="X41" s="23">
        <v>0.85</v>
      </c>
    </row>
    <row r="42" spans="22:24" x14ac:dyDescent="0.35">
      <c r="V42" s="12">
        <v>42</v>
      </c>
      <c r="W42" s="19" t="str">
        <f ca="1"/>
        <v/>
      </c>
      <c r="X42" s="23">
        <v>0.85</v>
      </c>
    </row>
    <row r="43" spans="22:24" x14ac:dyDescent="0.35">
      <c r="V43" s="12">
        <v>43</v>
      </c>
      <c r="W43" s="19" t="str">
        <f ca="1"/>
        <v/>
      </c>
      <c r="X43" s="23">
        <v>0.85</v>
      </c>
    </row>
    <row r="44" spans="22:24" x14ac:dyDescent="0.35">
      <c r="V44" s="12">
        <v>44</v>
      </c>
      <c r="W44" s="19" t="str">
        <f ca="1"/>
        <v/>
      </c>
      <c r="X44" s="23">
        <v>0.85</v>
      </c>
    </row>
    <row r="45" spans="22:24" x14ac:dyDescent="0.35">
      <c r="V45" s="12">
        <v>45</v>
      </c>
      <c r="W45" s="19" t="str">
        <f ca="1"/>
        <v/>
      </c>
      <c r="X45" s="23">
        <v>0.85</v>
      </c>
    </row>
    <row r="46" spans="22:24" x14ac:dyDescent="0.35">
      <c r="V46" s="12">
        <v>46</v>
      </c>
      <c r="W46" s="19" t="str">
        <f ca="1"/>
        <v/>
      </c>
      <c r="X46" s="23">
        <v>0.85</v>
      </c>
    </row>
    <row r="47" spans="22:24" x14ac:dyDescent="0.35">
      <c r="V47" s="12">
        <v>47</v>
      </c>
      <c r="W47" s="19" t="str">
        <f ca="1"/>
        <v/>
      </c>
      <c r="X47" s="23">
        <v>0.85</v>
      </c>
    </row>
    <row r="48" spans="22:24" x14ac:dyDescent="0.35">
      <c r="V48" s="12">
        <v>48</v>
      </c>
      <c r="W48" s="19" t="str">
        <f ca="1"/>
        <v/>
      </c>
      <c r="X48" s="23">
        <v>0.85</v>
      </c>
    </row>
    <row r="49" spans="22:24" x14ac:dyDescent="0.35">
      <c r="V49" s="12">
        <v>49</v>
      </c>
      <c r="W49" s="19" t="str">
        <f ca="1"/>
        <v/>
      </c>
      <c r="X49" s="23">
        <v>0.85</v>
      </c>
    </row>
    <row r="50" spans="22:24" x14ac:dyDescent="0.35">
      <c r="V50" s="12">
        <v>50</v>
      </c>
      <c r="W50" s="19" t="str">
        <f ca="1"/>
        <v/>
      </c>
      <c r="X50" s="23">
        <v>0.85</v>
      </c>
    </row>
    <row r="51" spans="22:24" ht="15" thickBot="1" x14ac:dyDescent="0.4">
      <c r="V51" s="13">
        <v>51</v>
      </c>
      <c r="W51" s="20" t="str">
        <f ca="1"/>
        <v/>
      </c>
      <c r="X51" s="23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2026-01-14T07:59:42Z</dcterms:modified>
  <cp:category/>
  <cp:contentStatus/>
</cp:coreProperties>
</file>