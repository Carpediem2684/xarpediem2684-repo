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60" documentId="8_{9BF04A69-4985-425F-A60E-410698EC9913}" xr6:coauthVersionLast="47" xr6:coauthVersionMax="47" xr10:uidLastSave="{229F0BE9-3700-4343-9736-289581E777A7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AB4" i="1" l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  <c r="W3" i="1" l="1" a="1"/>
  <c r="W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<sst xmlns="http://schemas.openxmlformats.org/spreadsheetml/2006/main" count="84" uniqueCount="31">
  <si>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</si>
  <si>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</si>
  <si>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</si>
  <si>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</si>
  <si>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</si>
  <si>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</si>
  <si>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</si>
  <si>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</si>
  <si>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</si>
  <si>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</si>
  <si>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</si>
  <si>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</si>
  <si>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</si>
  <si>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</si>
  <si>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</si>
  <si>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</si>
  <si>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</si>
  <si>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</si>
  <si>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</si>
  <si>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</si>
  <si>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</si>
  <si>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</si>
  <si>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</si>
  <si>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</si>
  <si>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</si>
  <si>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</si>
  <si>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</si>
  <si>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</si>
  <si>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</si>
  <si>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Vu avec SC</t>
  </si>
  <si>
    <t>En-cours Visitage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</si>
</sst>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8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0" fillId="0" borderId="1" xfId="0" applyBorder="1"/>
    <xf numFmtId="0" fontId="0" fillId="0" borderId="13" xfId="0" applyBorder="1"/>
    <xf numFmtId="1" fontId="1" fillId="0" borderId="1" xfId="0" applyNumberFormat="1" applyFon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Feuil1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0.47222222222222221</v>
          </cell>
        </row>
        <row r="3">
          <cell r="H3">
            <v>0.6470588235294118</v>
          </cell>
        </row>
        <row r="4">
          <cell r="H4">
            <v>0.63414634146341464</v>
          </cell>
        </row>
        <row r="5">
          <cell r="H5">
            <v>0.12857142857142856</v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workbookViewId="0">
      <selection activeCell="I8" sqref="I8"/>
    </sheetView>
  </sheetViews>
  <sheetFormatPr baseColWidth="10" defaultColWidth="11.453125" defaultRowHeight="14.5" x14ac:dyDescent="0.35"/>
  <cols>
    <col min="15" max="15" width="11.453125" customWidth="1"/>
    <col min="16" max="16" width="15.6328125" bestFit="1" customWidth="1"/>
    <col min="17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5" max="35" width="15.6328125" bestFit="1" customWidth="1"/>
    <col min="38" max="38" width="15.90625" bestFit="1" customWidth="1"/>
  </cols>
  <sheetData>
    <row r="1" spans="1:39" ht="15" thickBot="1" x14ac:dyDescent="0.4">
      <c r="Z1" s="34" t="s">
        <v>26</v>
      </c>
      <c r="AA1" s="35"/>
      <c r="AB1" s="35"/>
      <c r="AC1" s="35"/>
      <c r="AD1" s="35"/>
      <c r="AE1" s="35"/>
      <c r="AF1" s="35"/>
      <c r="AG1" s="35"/>
      <c r="AH1" s="36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I2" s="4" t="s">
        <v>30</v>
      </c>
      <c r="AJ2" s="8" t="s">
        <v>27</v>
      </c>
      <c r="AK2" s="8" t="s">
        <v>28</v>
      </c>
      <c r="AL2" s="29">
        <v>46081</v>
      </c>
      <c r="AM2" s="8" t="s">
        <v>29</v>
      </c>
    </row>
    <row r="3" spans="1:39" ht="15" thickBot="1" x14ac:dyDescent="0.4">
      <c r="A3" s="1" t="s">
        <v>12</v>
      </c>
      <c r="B3" s="28">
        <f>G3+H3+I3+J3+K3+L3+M3+N3</f>
        <v>550</v>
      </c>
      <c r="C3" s="3">
        <v>577</v>
      </c>
      <c r="F3" s="1" t="s">
        <v>12</v>
      </c>
      <c r="G3" s="8">
        <v>68</v>
      </c>
      <c r="H3" s="8">
        <v>39</v>
      </c>
      <c r="I3" s="8">
        <v>122</v>
      </c>
      <c r="J3" s="8">
        <v>162</v>
      </c>
      <c r="K3" s="8">
        <v>62</v>
      </c>
      <c r="L3" s="8">
        <v>22</v>
      </c>
      <c r="M3" s="8">
        <v>22</v>
      </c>
      <c r="N3" s="8">
        <v>53</v>
      </c>
      <c r="V3" s="14">
        <v>2</v>
      </c>
      <c r="W3" s="17" cm="1">
        <f t="array" ref="W3:W51">'[1]Taux d adhérence'!$H$2:$H$50</f>
        <v>0.47222222222222221</v>
      </c>
      <c r="X3" s="23">
        <v>0.85</v>
      </c>
      <c r="Z3" s="1" t="s">
        <v>12</v>
      </c>
      <c r="AA3" s="25"/>
      <c r="AB3" s="25"/>
      <c r="AC3" s="25"/>
      <c r="AD3" s="25">
        <v>38</v>
      </c>
      <c r="AE3" s="25"/>
      <c r="AF3" s="25"/>
      <c r="AG3" s="25">
        <f>'[1]Base Pic'!I2-M3</f>
        <v>8</v>
      </c>
      <c r="AH3" s="25"/>
      <c r="AI3" s="31">
        <v>22</v>
      </c>
      <c r="AJ3" s="32"/>
      <c r="AK3" s="10"/>
      <c r="AL3" s="30"/>
      <c r="AM3" s="8"/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P4" s="2" t="s">
        <v>30</v>
      </c>
      <c r="Q4" s="33">
        <v>22</v>
      </c>
      <c r="V4" s="12">
        <v>3</v>
      </c>
      <c r="W4" s="18">
        <v>0.6470588235294118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  <c r="AI4" s="31"/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>
        <v>0.63414634146341464</v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  <c r="AI5" s="31"/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>
        <v>0.12857142857142856</v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  <c r="AI6" s="31"/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  <c r="AI7" s="31"/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  <c r="AI8" s="31"/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  <c r="AI9" s="31"/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  <c r="AI10" s="31"/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  <c r="AI11" s="31"/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  <c r="AI12" s="31"/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  <c r="AI13" s="31"/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  <c r="AI14" s="31"/>
    </row>
    <row r="15" spans="1:39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7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7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7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2026-01-30T17:07:24Z</dcterms:modified>
  <cp:category/>
  <cp:contentStatus/>
</cp:coreProperties>
</file>