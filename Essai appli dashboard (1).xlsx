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Planning Streamlit/xarpediem2684-repo-main/"/>
    </mc:Choice>
  </mc:AlternateContent>
  <xr:revisionPtr revIDLastSave="409" documentId="8_{9BF04A69-4985-425F-A60E-410698EC9913}" xr6:coauthVersionLast="47" xr6:coauthVersionMax="47" xr10:uidLastSave="{1BDACE60-F35F-400A-94C9-7920E60048F7}"/>
  <bookViews>
    <workbookView xWindow="-25020" yWindow="2310" windowWidth="21600" windowHeight="11175" xr2:uid="{2923B22B-957A-4C01-9BE6-B7BCC6DA9E23}"/>
  </bookViews>
  <sheets>
    <sheet name="2025" sheetId="1" r:id="rId1"/>
  </sheets>
  <externalReferences>
    <externalReference r:id="rId2"/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W3" i="1" l="1"/>
  <c r="W5" i="1"/>
  <c r="W4" i="1"/>
  <c r="W6" i="1"/>
</calcChain>
</file>

<file path=xl/sharedStrings.xml><?xml version="1.0" encoding="utf-8"?>
<sst xmlns="http://schemas.openxmlformats.org/spreadsheetml/2006/main" count="107" uniqueCount="42">
  <si>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</si>
  <si>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</si>
  <si>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</si>
  <si>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</si>
  <si>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</si>
  <si>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</si>
  <si>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</si>
  <si>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</si>
  <si>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</si>
  <si>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</si>
  <si>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</si>
  <si>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</si>
  <si>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</si>
  <si>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</si>
  <si>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</si>
  <si>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</si>
  <si>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</si>
  <si>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</si>
  <si>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</si>
  <si>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</si>
  <si>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</si>
  <si>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</si>
  <si>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</si>
  <si>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</si>
  <si>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</si>
  <si>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</si>
  <si>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</si>
  <si>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</si>
  <si>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</si>
  <si>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</si>
  <si>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</si>
  <si>
    <t>Quantité demandée</t>
  </si>
  <si>
    <t>Quantité IC</t>
  </si>
  <si>
    <t>Rdt Réel</t>
  </si>
  <si>
    <t>Rebuts budget</t>
  </si>
  <si>
    <t>Rebuts en écart vs budget</t>
  </si>
  <si>
    <t>Libelle ligne</t>
  </si>
  <si>
    <t>U4M LIGNE 1</t>
  </si>
  <si>
    <t>U4M IMPRIMERIE BASE</t>
  </si>
  <si>
    <t>U4M LIGNE 2 BASE</t>
  </si>
  <si>
    <t>Date début OF</t>
  </si>
  <si>
    <t>http://nx2bipprd.gerflorgroup.com:9502/xmlpserver/Manufacturing/STKPAREMPP4M_DEPREC.xdo?_xmode=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</si>
</sst>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0"/>
    <numFmt numFmtId="165" formatCode="#,##0.########"/>
    <numFmt numFmtId="166" formatCode="#,##0.00\ %"/>
    <numFmt numFmtId="167" formatCode="d\ mmm\ yy\ hh:mm:ss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BFD2E2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608BB4"/>
      </left>
      <right style="medium">
        <color rgb="FF608BB4"/>
      </right>
      <top style="medium">
        <color rgb="FF608BB4"/>
      </top>
      <bottom style="medium">
        <color rgb="FF608BB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5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8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0" fillId="0" borderId="1" xfId="0" applyBorder="1"/>
    <xf numFmtId="0" fontId="0" fillId="0" borderId="13" xfId="0" applyBorder="1"/>
    <xf numFmtId="1" fontId="1" fillId="0" borderId="1" xfId="0" applyNumberFormat="1" applyFont="1" applyBorder="1"/>
    <xf numFmtId="0" fontId="6" fillId="3" borderId="14" xfId="0" applyFont="1" applyFill="1" applyBorder="1" applyAlignment="1">
      <alignment horizontal="center" vertical="top"/>
    </xf>
    <xf numFmtId="164" fontId="7" fillId="0" borderId="15" xfId="0" applyNumberFormat="1" applyFont="1" applyBorder="1" applyAlignment="1">
      <alignment horizontal="right" vertical="top"/>
    </xf>
    <xf numFmtId="165" fontId="7" fillId="0" borderId="15" xfId="0" applyNumberFormat="1" applyFont="1" applyBorder="1" applyAlignment="1">
      <alignment horizontal="right" vertical="top"/>
    </xf>
    <xf numFmtId="166" fontId="7" fillId="0" borderId="15" xfId="0" applyNumberFormat="1" applyFont="1" applyBorder="1" applyAlignment="1">
      <alignment horizontal="right" vertical="top"/>
    </xf>
    <xf numFmtId="4" fontId="7" fillId="0" borderId="15" xfId="0" applyNumberFormat="1" applyFont="1" applyBorder="1" applyAlignment="1">
      <alignment horizontal="right" vertical="top"/>
    </xf>
    <xf numFmtId="0" fontId="7" fillId="0" borderId="15" xfId="0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3" fontId="7" fillId="0" borderId="15" xfId="0" applyNumberFormat="1" applyFont="1" applyBorder="1" applyAlignment="1">
      <alignment horizontal="right" vertical="top"/>
    </xf>
    <xf numFmtId="0" fontId="8" fillId="0" borderId="0" xfId="4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5">
    <cellStyle name="Lien hypertexte" xfId="4" builtinId="8"/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/personal/yannick_tetart_gerflor_com/Documents/Desktop/Rendement%20PIC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/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0.65853658536585369</v>
          </cell>
        </row>
        <row r="5">
          <cell r="H5">
            <v>0.71830985915492962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nx2bipprd.gerflorgroup.com:9502/xmlpserver/Manufacturing/STKPAREMPP4M_DEPREC.xdo?_xmode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73"/>
  <sheetViews>
    <sheetView tabSelected="1" topLeftCell="I1" workbookViewId="0">
      <selection activeCell="Q9" sqref="Q9"/>
    </sheetView>
  </sheetViews>
  <sheetFormatPr baseColWidth="10" defaultColWidth="11.453125" defaultRowHeight="14.5" x14ac:dyDescent="0.35"/>
  <cols>
    <col min="1" max="1" width="16.36328125" bestFit="1" customWidth="1"/>
    <col min="2" max="2" width="14.26953125" bestFit="1" customWidth="1"/>
    <col min="3" max="3" width="16.36328125" bestFit="1" customWidth="1"/>
    <col min="4" max="4" width="12.26953125" bestFit="1" customWidth="1"/>
    <col min="5" max="5" width="21.54296875" bestFit="1" customWidth="1"/>
    <col min="7" max="7" width="21.54296875" bestFit="1" customWidth="1"/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0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42" t="s">
        <v>26</v>
      </c>
      <c r="AA1" s="43"/>
      <c r="AB1" s="43"/>
      <c r="AC1" s="43"/>
      <c r="AD1" s="43"/>
      <c r="AE1" s="43"/>
      <c r="AF1" s="43"/>
      <c r="AG1" s="43"/>
      <c r="AH1" s="44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6</v>
      </c>
      <c r="S2" s="2" t="s">
        <v>11</v>
      </c>
      <c r="T2" s="2">
        <v>72</v>
      </c>
      <c r="V2" s="7">
        <v>2026</v>
      </c>
      <c r="W2" s="16" t="s">
        <v>24</v>
      </c>
      <c r="X2" s="21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4" t="s">
        <v>30</v>
      </c>
      <c r="AJ2" s="8" t="s">
        <v>27</v>
      </c>
      <c r="AK2" s="8" t="s">
        <v>28</v>
      </c>
      <c r="AL2" s="28">
        <v>46081</v>
      </c>
      <c r="AM2" s="8" t="s">
        <v>29</v>
      </c>
    </row>
    <row r="3" spans="1:39" ht="15" thickBot="1" x14ac:dyDescent="0.4">
      <c r="A3" s="1" t="s">
        <v>12</v>
      </c>
      <c r="B3" s="27">
        <f>G3+H3+I3+J3+K3+L3+M3+N3</f>
        <v>586</v>
      </c>
      <c r="C3" s="3">
        <v>577</v>
      </c>
      <c r="F3" s="1" t="s">
        <v>12</v>
      </c>
      <c r="G3" s="8">
        <v>74</v>
      </c>
      <c r="H3" s="8">
        <v>49</v>
      </c>
      <c r="I3" s="8">
        <v>122</v>
      </c>
      <c r="J3" s="8">
        <v>173</v>
      </c>
      <c r="K3" s="8">
        <v>62</v>
      </c>
      <c r="L3" s="8">
        <v>22</v>
      </c>
      <c r="M3" s="8">
        <v>31</v>
      </c>
      <c r="N3" s="8">
        <v>53</v>
      </c>
      <c r="V3" s="14">
        <v>2</v>
      </c>
      <c r="W3" s="17">
        <f>'[1]Taux d adhérence'!$H$2</f>
        <v>0.47222222222222221</v>
      </c>
      <c r="X3" s="22">
        <v>0.85</v>
      </c>
      <c r="Z3" s="1" t="s">
        <v>12</v>
      </c>
      <c r="AA3" s="24"/>
      <c r="AB3" s="24"/>
      <c r="AC3" s="24"/>
      <c r="AD3" s="24"/>
      <c r="AE3" s="24"/>
      <c r="AF3" s="24"/>
      <c r="AG3" s="24"/>
      <c r="AH3" s="24"/>
      <c r="AI3" s="30"/>
      <c r="AJ3" s="31"/>
      <c r="AK3" s="10"/>
      <c r="AL3" s="29"/>
      <c r="AM3" s="8"/>
    </row>
    <row r="4" spans="1:39" ht="15" thickBot="1" x14ac:dyDescent="0.4">
      <c r="A4" s="1" t="s">
        <v>13</v>
      </c>
      <c r="B4" s="27">
        <f t="shared" ref="B4:B14" si="0">G4+H4+I4+J4+K4+L4+M4+N4</f>
        <v>120</v>
      </c>
      <c r="C4" s="3">
        <v>579</v>
      </c>
      <c r="F4" s="1" t="s">
        <v>13</v>
      </c>
      <c r="G4" s="9"/>
      <c r="H4" s="9">
        <v>76</v>
      </c>
      <c r="I4" s="9"/>
      <c r="J4" s="9"/>
      <c r="K4" s="9"/>
      <c r="L4" s="9">
        <v>44</v>
      </c>
      <c r="M4" s="9"/>
      <c r="N4" s="9"/>
      <c r="P4" s="2" t="s">
        <v>30</v>
      </c>
      <c r="Q4" s="32">
        <v>6</v>
      </c>
      <c r="V4" s="12">
        <v>3</v>
      </c>
      <c r="W4" s="17">
        <f>'[1]Taux d adhérence'!$H$3</f>
        <v>0.6470588235294118</v>
      </c>
      <c r="X4" s="22">
        <v>0.85</v>
      </c>
      <c r="Z4" s="1" t="s">
        <v>13</v>
      </c>
      <c r="AA4" s="24">
        <f>'[2]Base Pic'!C3-G4</f>
        <v>65</v>
      </c>
      <c r="AB4" s="24">
        <f>'[2]Base Pic'!D3-H4</f>
        <v>17</v>
      </c>
      <c r="AC4" s="24">
        <f>'[2]Base Pic'!E3-I4</f>
        <v>90</v>
      </c>
      <c r="AD4" s="24">
        <f>'[2]Base Pic'!F3-J4</f>
        <v>155</v>
      </c>
      <c r="AE4" s="24">
        <f>'[2]Base Pic'!G3-K4</f>
        <v>38</v>
      </c>
      <c r="AF4" s="24">
        <f>'[2]Base Pic'!H3-L4</f>
        <v>-6</v>
      </c>
      <c r="AG4" s="24">
        <f>'[2]Base Pic'!I3-M4</f>
        <v>20</v>
      </c>
      <c r="AH4" s="24">
        <f>'[2]Base Pic'!J3-N4</f>
        <v>80</v>
      </c>
      <c r="AI4" s="30"/>
    </row>
    <row r="5" spans="1:39" ht="15" thickBot="1" x14ac:dyDescent="0.4">
      <c r="A5" s="1" t="s">
        <v>14</v>
      </c>
      <c r="B5" s="27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7">
        <f>'[1]Taux d adhérence'!$H$4</f>
        <v>0.65853658536585369</v>
      </c>
      <c r="X5" s="22">
        <v>0.85</v>
      </c>
      <c r="Z5" s="1" t="s">
        <v>14</v>
      </c>
      <c r="AA5" s="24">
        <f>'[2]Base Pic'!C4-G5</f>
        <v>48</v>
      </c>
      <c r="AB5" s="24">
        <f>'[2]Base Pic'!D4-H5</f>
        <v>121</v>
      </c>
      <c r="AC5" s="24">
        <f>'[2]Base Pic'!E4-I5</f>
        <v>106</v>
      </c>
      <c r="AD5" s="24">
        <f>'[2]Base Pic'!F4-J5</f>
        <v>190</v>
      </c>
      <c r="AE5" s="24">
        <f>'[2]Base Pic'!G4-K5</f>
        <v>55</v>
      </c>
      <c r="AF5" s="24">
        <f>'[2]Base Pic'!H4-L5</f>
        <v>37</v>
      </c>
      <c r="AG5" s="24">
        <f>'[2]Base Pic'!I4-M5</f>
        <v>30</v>
      </c>
      <c r="AH5" s="24">
        <f>'[2]Base Pic'!J4-N5</f>
        <v>70</v>
      </c>
      <c r="AI5" s="30"/>
    </row>
    <row r="6" spans="1:39" ht="15" thickBot="1" x14ac:dyDescent="0.4">
      <c r="A6" s="1" t="s">
        <v>15</v>
      </c>
      <c r="B6" s="27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7">
        <f>'[1]Taux d adhérence'!$H$5</f>
        <v>0.71830985915492962</v>
      </c>
      <c r="X6" s="22">
        <v>0.85</v>
      </c>
      <c r="Z6" s="1" t="s">
        <v>15</v>
      </c>
      <c r="AA6" s="24">
        <f>'[2]Base Pic'!C5-G6</f>
        <v>37</v>
      </c>
      <c r="AB6" s="24">
        <f>'[2]Base Pic'!D5-H6</f>
        <v>67</v>
      </c>
      <c r="AC6" s="24">
        <f>'[2]Base Pic'!E5-I6</f>
        <v>82</v>
      </c>
      <c r="AD6" s="24">
        <f>'[2]Base Pic'!F5-J6</f>
        <v>120</v>
      </c>
      <c r="AE6" s="24">
        <f>'[2]Base Pic'!G5-K6</f>
        <v>48</v>
      </c>
      <c r="AF6" s="24">
        <f>'[2]Base Pic'!H5-L6</f>
        <v>33</v>
      </c>
      <c r="AG6" s="24">
        <f>'[2]Base Pic'!I5-M6</f>
        <v>30</v>
      </c>
      <c r="AH6" s="24">
        <f>'[2]Base Pic'!J5-N6</f>
        <v>70</v>
      </c>
      <c r="AI6" s="30"/>
    </row>
    <row r="7" spans="1:39" ht="15" thickBot="1" x14ac:dyDescent="0.4">
      <c r="A7" s="1" t="s">
        <v>16</v>
      </c>
      <c r="B7" s="27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7"/>
      <c r="X7" s="22">
        <v>0.85</v>
      </c>
      <c r="Z7" s="1" t="s">
        <v>16</v>
      </c>
      <c r="AA7" s="24">
        <f>'[2]Base Pic'!C6-G7</f>
        <v>34</v>
      </c>
      <c r="AB7" s="24">
        <f>'[2]Base Pic'!D6-H7</f>
        <v>62</v>
      </c>
      <c r="AC7" s="24">
        <f>'[2]Base Pic'!E6-I7</f>
        <v>59</v>
      </c>
      <c r="AD7" s="24">
        <f>'[2]Base Pic'!F6-J7</f>
        <v>153</v>
      </c>
      <c r="AE7" s="24">
        <f>'[2]Base Pic'!G6-K7</f>
        <v>33</v>
      </c>
      <c r="AF7" s="24">
        <f>'[2]Base Pic'!H6-L7</f>
        <v>22</v>
      </c>
      <c r="AG7" s="24">
        <f>'[2]Base Pic'!I6-M7</f>
        <v>30</v>
      </c>
      <c r="AH7" s="24">
        <f>'[2]Base Pic'!J6-N7</f>
        <v>80</v>
      </c>
      <c r="AI7" s="30"/>
    </row>
    <row r="8" spans="1:39" ht="15" thickBot="1" x14ac:dyDescent="0.4">
      <c r="A8" s="1" t="s">
        <v>17</v>
      </c>
      <c r="B8" s="27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7"/>
      <c r="X8" s="22">
        <v>0.85</v>
      </c>
      <c r="Z8" s="1" t="s">
        <v>17</v>
      </c>
      <c r="AA8" s="24">
        <f>'[2]Base Pic'!C7-G8</f>
        <v>38</v>
      </c>
      <c r="AB8" s="24">
        <f>'[2]Base Pic'!D7-H8</f>
        <v>87</v>
      </c>
      <c r="AC8" s="24">
        <f>'[2]Base Pic'!E7-I8</f>
        <v>119</v>
      </c>
      <c r="AD8" s="24">
        <f>'[2]Base Pic'!F7-J8</f>
        <v>211</v>
      </c>
      <c r="AE8" s="24">
        <f>'[2]Base Pic'!G7-K8</f>
        <v>55</v>
      </c>
      <c r="AF8" s="24">
        <f>'[2]Base Pic'!H7-L8</f>
        <v>38</v>
      </c>
      <c r="AG8" s="24">
        <f>'[2]Base Pic'!I7-M8</f>
        <v>40</v>
      </c>
      <c r="AH8" s="24">
        <f>'[2]Base Pic'!J7-N8</f>
        <v>70</v>
      </c>
      <c r="AI8" s="30"/>
    </row>
    <row r="9" spans="1:39" ht="15" thickBot="1" x14ac:dyDescent="0.4">
      <c r="A9" s="1" t="s">
        <v>18</v>
      </c>
      <c r="B9" s="27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Q9" s="41" t="s">
        <v>41</v>
      </c>
      <c r="V9" s="12">
        <v>8</v>
      </c>
      <c r="W9" s="17"/>
      <c r="X9" s="22">
        <v>0.85</v>
      </c>
      <c r="Z9" s="1" t="s">
        <v>18</v>
      </c>
      <c r="AA9" s="24">
        <f>'[2]Base Pic'!C8-G9</f>
        <v>42</v>
      </c>
      <c r="AB9" s="24">
        <f>'[2]Base Pic'!D8-H9</f>
        <v>83</v>
      </c>
      <c r="AC9" s="24">
        <f>'[2]Base Pic'!E8-I9</f>
        <v>98</v>
      </c>
      <c r="AD9" s="24">
        <f>'[2]Base Pic'!F8-J9</f>
        <v>164</v>
      </c>
      <c r="AE9" s="24">
        <f>'[2]Base Pic'!G8-K9</f>
        <v>64</v>
      </c>
      <c r="AF9" s="24">
        <f>'[2]Base Pic'!H8-L9</f>
        <v>36</v>
      </c>
      <c r="AG9" s="24">
        <f>'[2]Base Pic'!I8-M9</f>
        <v>40</v>
      </c>
      <c r="AH9" s="24">
        <f>'[2]Base Pic'!J8-N9</f>
        <v>80</v>
      </c>
      <c r="AI9" s="30"/>
    </row>
    <row r="10" spans="1:39" ht="15" thickBot="1" x14ac:dyDescent="0.4">
      <c r="A10" s="1" t="s">
        <v>19</v>
      </c>
      <c r="B10" s="27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7"/>
      <c r="X10" s="22">
        <v>0.85</v>
      </c>
      <c r="Z10" s="1" t="s">
        <v>19</v>
      </c>
      <c r="AA10" s="24">
        <f>'[2]Base Pic'!C9-G10</f>
        <v>0</v>
      </c>
      <c r="AB10" s="24">
        <f>'[2]Base Pic'!D9-H10</f>
        <v>0</v>
      </c>
      <c r="AC10" s="24">
        <f>'[2]Base Pic'!E9-I10</f>
        <v>0</v>
      </c>
      <c r="AD10" s="24">
        <f>'[2]Base Pic'!F9-J10</f>
        <v>167</v>
      </c>
      <c r="AE10" s="24">
        <f>'[2]Base Pic'!G9-K10</f>
        <v>0</v>
      </c>
      <c r="AF10" s="24">
        <f>'[2]Base Pic'!H9-L10</f>
        <v>0</v>
      </c>
      <c r="AG10" s="24">
        <f>'[2]Base Pic'!I9-M10</f>
        <v>0</v>
      </c>
      <c r="AH10" s="24">
        <f>'[2]Base Pic'!J9-N10</f>
        <v>0</v>
      </c>
      <c r="AI10" s="30"/>
    </row>
    <row r="11" spans="1:39" ht="15" thickBot="1" x14ac:dyDescent="0.4">
      <c r="A11" s="1" t="s">
        <v>20</v>
      </c>
      <c r="B11" s="27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7"/>
      <c r="X11" s="22">
        <v>0.85</v>
      </c>
      <c r="Z11" s="1" t="s">
        <v>20</v>
      </c>
      <c r="AA11" s="24">
        <f>'[2]Base Pic'!C10-G11</f>
        <v>55</v>
      </c>
      <c r="AB11" s="24">
        <f>'[2]Base Pic'!D10-H11</f>
        <v>105</v>
      </c>
      <c r="AC11" s="24">
        <f>'[2]Base Pic'!E10-I11</f>
        <v>109</v>
      </c>
      <c r="AD11" s="24">
        <f>'[2]Base Pic'!F10-J11</f>
        <v>177</v>
      </c>
      <c r="AE11" s="24">
        <f>'[2]Base Pic'!G10-K11</f>
        <v>54</v>
      </c>
      <c r="AF11" s="24">
        <f>'[2]Base Pic'!H10-L11</f>
        <v>35</v>
      </c>
      <c r="AG11" s="24">
        <f>'[2]Base Pic'!I10-M11</f>
        <v>30</v>
      </c>
      <c r="AH11" s="24">
        <f>'[2]Base Pic'!J10-N11</f>
        <v>70</v>
      </c>
      <c r="AI11" s="30"/>
    </row>
    <row r="12" spans="1:39" ht="15" thickBot="1" x14ac:dyDescent="0.4">
      <c r="A12" s="1" t="s">
        <v>21</v>
      </c>
      <c r="B12" s="27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7"/>
      <c r="X12" s="22">
        <v>0.85</v>
      </c>
      <c r="Z12" s="1" t="s">
        <v>21</v>
      </c>
      <c r="AA12" s="24">
        <f>'[2]Base Pic'!C11-G12</f>
        <v>64</v>
      </c>
      <c r="AB12" s="24">
        <f>'[2]Base Pic'!D11-H12</f>
        <v>106</v>
      </c>
      <c r="AC12" s="24">
        <f>'[2]Base Pic'!E11-I12</f>
        <v>89</v>
      </c>
      <c r="AD12" s="24">
        <f>'[2]Base Pic'!F11-J12</f>
        <v>184</v>
      </c>
      <c r="AE12" s="24">
        <f>'[2]Base Pic'!G11-K12</f>
        <v>53</v>
      </c>
      <c r="AF12" s="24">
        <f>'[2]Base Pic'!H11-L12</f>
        <v>33</v>
      </c>
      <c r="AG12" s="24">
        <f>'[2]Base Pic'!I11-M12</f>
        <v>30</v>
      </c>
      <c r="AH12" s="24">
        <f>'[2]Base Pic'!J11-N12</f>
        <v>80</v>
      </c>
      <c r="AI12" s="30"/>
    </row>
    <row r="13" spans="1:39" ht="15" thickBot="1" x14ac:dyDescent="0.4">
      <c r="A13" s="1" t="s">
        <v>22</v>
      </c>
      <c r="B13" s="27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7"/>
      <c r="X13" s="22">
        <v>0.85</v>
      </c>
      <c r="Z13" s="1" t="s">
        <v>22</v>
      </c>
      <c r="AA13" s="25">
        <f>'[2]Base Pic'!C12-G13</f>
        <v>57</v>
      </c>
      <c r="AB13" s="25">
        <f>'[2]Base Pic'!D12-H13</f>
        <v>88</v>
      </c>
      <c r="AC13" s="25">
        <f>'[2]Base Pic'!E12-I13</f>
        <v>87</v>
      </c>
      <c r="AD13" s="25">
        <f>'[2]Base Pic'!F12-J13</f>
        <v>179</v>
      </c>
      <c r="AE13" s="25">
        <f>'[2]Base Pic'!G12-K13</f>
        <v>54</v>
      </c>
      <c r="AF13" s="25">
        <f>'[2]Base Pic'!H12-L13</f>
        <v>27</v>
      </c>
      <c r="AG13" s="25">
        <f>'[2]Base Pic'!I12-M13</f>
        <v>20</v>
      </c>
      <c r="AH13" s="25">
        <f>'[2]Base Pic'!J12-N13</f>
        <v>50</v>
      </c>
      <c r="AI13" s="30"/>
    </row>
    <row r="14" spans="1:39" ht="15" thickBot="1" x14ac:dyDescent="0.4">
      <c r="A14" s="1" t="s">
        <v>23</v>
      </c>
      <c r="B14" s="27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7"/>
      <c r="X14" s="22">
        <v>0.85</v>
      </c>
      <c r="Z14" s="1" t="s">
        <v>23</v>
      </c>
      <c r="AA14" s="26">
        <f>'[2]Base Pic'!C13-G14</f>
        <v>43</v>
      </c>
      <c r="AB14" s="26">
        <f>'[2]Base Pic'!D13-H14</f>
        <v>60</v>
      </c>
      <c r="AC14" s="26">
        <f>'[2]Base Pic'!E13-I14</f>
        <v>90</v>
      </c>
      <c r="AD14" s="26">
        <f>'[2]Base Pic'!F13-J14</f>
        <v>110</v>
      </c>
      <c r="AE14" s="26">
        <f>'[2]Base Pic'!G13-K14</f>
        <v>40</v>
      </c>
      <c r="AF14" s="26">
        <f>'[2]Base Pic'!H13-L14</f>
        <v>22</v>
      </c>
      <c r="AG14" s="26">
        <f>'[2]Base Pic'!I13-M14</f>
        <v>0</v>
      </c>
      <c r="AH14" s="26">
        <f>'[2]Base Pic'!J13-N14</f>
        <v>30</v>
      </c>
      <c r="AI14" s="30"/>
    </row>
    <row r="15" spans="1:39" ht="15" thickBot="1" x14ac:dyDescent="0.4">
      <c r="A15" s="1"/>
      <c r="B15" s="5"/>
      <c r="C15" s="5"/>
      <c r="V15" s="12">
        <v>14</v>
      </c>
      <c r="W15" s="17"/>
      <c r="X15" s="22">
        <v>0.85</v>
      </c>
    </row>
    <row r="16" spans="1:39" ht="15" thickBot="1" x14ac:dyDescent="0.4">
      <c r="A16" s="23"/>
      <c r="B16" s="8"/>
      <c r="C16" s="8"/>
      <c r="V16" s="12">
        <v>15</v>
      </c>
      <c r="W16" s="17"/>
      <c r="X16" s="22">
        <v>0.85</v>
      </c>
    </row>
    <row r="17" spans="1:24" ht="15" thickBot="1" x14ac:dyDescent="0.4">
      <c r="A17" s="1"/>
      <c r="B17" s="9"/>
      <c r="C17" s="9"/>
      <c r="V17" s="12">
        <v>16</v>
      </c>
      <c r="W17" s="17"/>
      <c r="X17" s="22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7"/>
      <c r="X18" s="22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7"/>
      <c r="X19" s="22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45"/>
      <c r="V20" s="12">
        <v>20</v>
      </c>
      <c r="W20" s="17"/>
      <c r="X20" s="22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45"/>
      <c r="V21" s="12">
        <v>21</v>
      </c>
      <c r="W21" s="17"/>
      <c r="X21" s="22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45"/>
      <c r="V22" s="12">
        <v>22</v>
      </c>
      <c r="W22" s="17"/>
      <c r="X22" s="22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7"/>
      <c r="X23" s="22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7"/>
      <c r="X24" s="22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7"/>
      <c r="X25" s="22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7"/>
      <c r="X26" s="22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7"/>
      <c r="X27" s="22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7"/>
      <c r="X28" s="22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7"/>
      <c r="X29" s="22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7"/>
      <c r="X30" s="22">
        <v>0.85</v>
      </c>
    </row>
    <row r="31" spans="1:24" x14ac:dyDescent="0.35">
      <c r="V31" s="12">
        <v>31</v>
      </c>
      <c r="W31" s="17"/>
      <c r="X31" s="22">
        <v>0.85</v>
      </c>
    </row>
    <row r="32" spans="1:24" x14ac:dyDescent="0.35">
      <c r="V32" s="12">
        <v>32</v>
      </c>
      <c r="W32" s="18"/>
      <c r="X32" s="22">
        <v>0.85</v>
      </c>
    </row>
    <row r="33" spans="1:24" x14ac:dyDescent="0.35">
      <c r="V33" s="12">
        <v>33</v>
      </c>
      <c r="W33" s="18"/>
      <c r="X33" s="22">
        <v>0.85</v>
      </c>
    </row>
    <row r="34" spans="1:24" x14ac:dyDescent="0.35">
      <c r="V34" s="12">
        <v>34</v>
      </c>
      <c r="W34" s="18"/>
      <c r="X34" s="22">
        <v>0.85</v>
      </c>
    </row>
    <row r="35" spans="1:24" x14ac:dyDescent="0.35">
      <c r="V35" s="12">
        <v>35</v>
      </c>
      <c r="W35" s="18"/>
      <c r="X35" s="22">
        <v>0.85</v>
      </c>
    </row>
    <row r="36" spans="1:24" x14ac:dyDescent="0.35">
      <c r="V36" s="12">
        <v>36</v>
      </c>
      <c r="W36" s="18"/>
      <c r="X36" s="22">
        <v>0.85</v>
      </c>
    </row>
    <row r="37" spans="1:24" x14ac:dyDescent="0.35">
      <c r="V37" s="12">
        <v>37</v>
      </c>
      <c r="W37" s="18"/>
      <c r="X37" s="22">
        <v>0.85</v>
      </c>
    </row>
    <row r="38" spans="1:24" x14ac:dyDescent="0.35">
      <c r="V38" s="12">
        <v>38</v>
      </c>
      <c r="W38" s="18"/>
      <c r="X38" s="22">
        <v>0.85</v>
      </c>
    </row>
    <row r="39" spans="1:24" x14ac:dyDescent="0.35">
      <c r="V39" s="12">
        <v>39</v>
      </c>
      <c r="W39" s="18"/>
      <c r="X39" s="22">
        <v>0.85</v>
      </c>
    </row>
    <row r="40" spans="1:24" x14ac:dyDescent="0.35">
      <c r="V40" s="12">
        <v>40</v>
      </c>
      <c r="W40" s="18"/>
      <c r="X40" s="22">
        <v>0.85</v>
      </c>
    </row>
    <row r="41" spans="1:24" x14ac:dyDescent="0.35">
      <c r="V41" s="12">
        <v>41</v>
      </c>
      <c r="W41" s="18"/>
      <c r="X41" s="22">
        <v>0.85</v>
      </c>
    </row>
    <row r="42" spans="1:24" x14ac:dyDescent="0.35">
      <c r="V42" s="12">
        <v>42</v>
      </c>
      <c r="W42" s="18"/>
      <c r="X42" s="22">
        <v>0.85</v>
      </c>
    </row>
    <row r="43" spans="1:24" x14ac:dyDescent="0.35">
      <c r="V43" s="12">
        <v>43</v>
      </c>
      <c r="W43" s="18"/>
      <c r="X43" s="22">
        <v>0.85</v>
      </c>
    </row>
    <row r="44" spans="1:24" x14ac:dyDescent="0.35">
      <c r="V44" s="12">
        <v>44</v>
      </c>
      <c r="W44" s="18"/>
      <c r="X44" s="22">
        <v>0.85</v>
      </c>
    </row>
    <row r="45" spans="1:24" x14ac:dyDescent="0.35">
      <c r="V45" s="12">
        <v>45</v>
      </c>
      <c r="W45" s="18"/>
      <c r="X45" s="22">
        <v>0.85</v>
      </c>
    </row>
    <row r="46" spans="1:24" ht="15" thickBot="1" x14ac:dyDescent="0.4">
      <c r="V46" s="12">
        <v>46</v>
      </c>
      <c r="W46" s="18"/>
      <c r="X46" s="22">
        <v>0.85</v>
      </c>
    </row>
    <row r="47" spans="1:24" ht="15" thickBot="1" x14ac:dyDescent="0.4">
      <c r="A47" s="33" t="s">
        <v>36</v>
      </c>
      <c r="B47" s="33" t="s">
        <v>40</v>
      </c>
      <c r="C47" s="33" t="s">
        <v>31</v>
      </c>
      <c r="D47" s="33" t="s">
        <v>32</v>
      </c>
      <c r="E47" s="33" t="s">
        <v>33</v>
      </c>
      <c r="F47" s="33" t="s">
        <v>34</v>
      </c>
      <c r="G47" s="33" t="s">
        <v>35</v>
      </c>
      <c r="V47" s="12">
        <v>47</v>
      </c>
      <c r="W47" s="18"/>
      <c r="X47" s="22">
        <v>0.85</v>
      </c>
    </row>
    <row r="48" spans="1:24" ht="15" thickBot="1" x14ac:dyDescent="0.4">
      <c r="A48" s="38" t="s">
        <v>37</v>
      </c>
      <c r="B48" s="39">
        <v>46055.675115739999</v>
      </c>
      <c r="C48" s="34">
        <v>8400</v>
      </c>
      <c r="D48" s="35">
        <v>8335.6200000000008</v>
      </c>
      <c r="E48" s="36">
        <v>0.995297910447</v>
      </c>
      <c r="F48" s="37">
        <v>-50.315613682092</v>
      </c>
      <c r="G48" s="37">
        <v>10.935613682092001</v>
      </c>
      <c r="V48" s="12">
        <v>48</v>
      </c>
      <c r="W48" s="18"/>
      <c r="X48" s="22">
        <v>0.85</v>
      </c>
    </row>
    <row r="49" spans="1:24" ht="15" thickBot="1" x14ac:dyDescent="0.4">
      <c r="A49" s="38" t="s">
        <v>37</v>
      </c>
      <c r="B49" s="39">
        <v>46055.59737268</v>
      </c>
      <c r="C49" s="34">
        <v>2000</v>
      </c>
      <c r="D49" s="35">
        <v>1935.53</v>
      </c>
      <c r="E49" s="36">
        <v>0.96679820179800002</v>
      </c>
      <c r="F49" s="37">
        <v>-11.683279678068001</v>
      </c>
      <c r="G49" s="37">
        <v>-54.786720321931</v>
      </c>
      <c r="V49" s="12">
        <v>49</v>
      </c>
      <c r="W49" s="18"/>
      <c r="X49" s="22">
        <v>0.85</v>
      </c>
    </row>
    <row r="50" spans="1:24" ht="15" thickBot="1" x14ac:dyDescent="0.4">
      <c r="A50" s="38" t="s">
        <v>38</v>
      </c>
      <c r="B50" s="39">
        <v>46055.390590269999</v>
      </c>
      <c r="C50" s="34">
        <v>600</v>
      </c>
      <c r="D50" s="35">
        <v>614.96</v>
      </c>
      <c r="E50" s="36">
        <v>0.94977451040899996</v>
      </c>
      <c r="F50" s="37">
        <v>-12.550204081632</v>
      </c>
      <c r="G50" s="37">
        <v>-19.969795918367002</v>
      </c>
      <c r="V50" s="12">
        <v>50</v>
      </c>
      <c r="W50" s="18"/>
      <c r="X50" s="22">
        <v>0.85</v>
      </c>
    </row>
    <row r="51" spans="1:24" ht="15" thickBot="1" x14ac:dyDescent="0.4">
      <c r="A51" s="38" t="s">
        <v>38</v>
      </c>
      <c r="B51" s="39">
        <v>46055.424212960002</v>
      </c>
      <c r="C51" s="34">
        <v>600</v>
      </c>
      <c r="D51" s="35">
        <v>639.08000000000004</v>
      </c>
      <c r="E51" s="36">
        <v>0.98285222152100005</v>
      </c>
      <c r="F51" s="37">
        <v>-13.042448979591001</v>
      </c>
      <c r="G51" s="37">
        <v>1.892448979591</v>
      </c>
      <c r="V51" s="13">
        <v>51</v>
      </c>
      <c r="W51" s="19"/>
      <c r="X51" s="22">
        <v>0.85</v>
      </c>
    </row>
    <row r="52" spans="1:24" ht="15" thickBot="1" x14ac:dyDescent="0.4">
      <c r="A52" s="38" t="s">
        <v>38</v>
      </c>
      <c r="B52" s="39">
        <v>46055.315543980003</v>
      </c>
      <c r="C52" s="34">
        <v>600</v>
      </c>
      <c r="D52" s="35">
        <v>611.09</v>
      </c>
      <c r="E52" s="36">
        <v>0.977525034392</v>
      </c>
      <c r="F52" s="37">
        <v>-12.471224489795</v>
      </c>
      <c r="G52" s="37">
        <v>-1.578775510204</v>
      </c>
    </row>
    <row r="53" spans="1:24" ht="15" thickBot="1" x14ac:dyDescent="0.4">
      <c r="A53" s="38" t="s">
        <v>38</v>
      </c>
      <c r="B53" s="39">
        <v>46055.276701379997</v>
      </c>
      <c r="C53" s="34">
        <v>1200</v>
      </c>
      <c r="D53" s="40">
        <v>1254</v>
      </c>
      <c r="E53" s="36">
        <v>0.498819826907</v>
      </c>
      <c r="F53" s="37">
        <v>-12.938775510204</v>
      </c>
      <c r="G53" s="37">
        <v>-624.06122448979602</v>
      </c>
    </row>
    <row r="54" spans="1:24" ht="15" thickBot="1" x14ac:dyDescent="0.4">
      <c r="A54" s="38" t="s">
        <v>38</v>
      </c>
      <c r="B54" s="39">
        <v>46055.563668980001</v>
      </c>
      <c r="C54" s="34">
        <v>600</v>
      </c>
      <c r="D54" s="35">
        <v>669.45</v>
      </c>
      <c r="E54" s="36">
        <v>1.0299230769229999</v>
      </c>
      <c r="F54" s="37">
        <v>-13.662244897959001</v>
      </c>
      <c r="G54" s="37">
        <v>33.112244897959002</v>
      </c>
    </row>
    <row r="55" spans="1:24" ht="15" thickBot="1" x14ac:dyDescent="0.4">
      <c r="A55" s="38" t="s">
        <v>38</v>
      </c>
      <c r="B55" s="39">
        <v>46055.660543979997</v>
      </c>
      <c r="C55" s="34">
        <v>600</v>
      </c>
      <c r="D55" s="35">
        <v>639.82000000000005</v>
      </c>
      <c r="E55" s="36">
        <v>0.96961522724100002</v>
      </c>
      <c r="F55" s="37">
        <v>-13.057551020408001</v>
      </c>
      <c r="G55" s="37">
        <v>-6.9924489795909999</v>
      </c>
    </row>
    <row r="56" spans="1:24" ht="15" thickBot="1" x14ac:dyDescent="0.4">
      <c r="A56" s="38" t="s">
        <v>38</v>
      </c>
      <c r="B56" s="39">
        <v>46055.631631939999</v>
      </c>
      <c r="C56" s="34">
        <v>600</v>
      </c>
      <c r="D56" s="35">
        <v>571.64</v>
      </c>
      <c r="E56" s="36">
        <v>0.91806122121199996</v>
      </c>
      <c r="F56" s="37">
        <v>-11.666122448978999</v>
      </c>
      <c r="G56" s="37">
        <v>-39.353877551019998</v>
      </c>
    </row>
    <row r="57" spans="1:24" ht="15" thickBot="1" x14ac:dyDescent="0.4">
      <c r="A57" s="38" t="s">
        <v>38</v>
      </c>
      <c r="B57" s="39">
        <v>46055.469861110003</v>
      </c>
      <c r="C57" s="34">
        <v>1200</v>
      </c>
      <c r="D57" s="35">
        <v>1236.96</v>
      </c>
      <c r="E57" s="36">
        <v>0.94914942105300004</v>
      </c>
      <c r="F57" s="37">
        <v>-25.244081632653</v>
      </c>
      <c r="G57" s="37">
        <v>-41.025918367346002</v>
      </c>
    </row>
    <row r="58" spans="1:24" ht="15" thickBot="1" x14ac:dyDescent="0.4">
      <c r="A58" s="38" t="s">
        <v>38</v>
      </c>
      <c r="B58" s="39">
        <v>46055.741458329998</v>
      </c>
      <c r="C58" s="34">
        <v>700</v>
      </c>
      <c r="D58" s="35">
        <v>696.87</v>
      </c>
      <c r="E58" s="36">
        <v>0.99919705203300002</v>
      </c>
      <c r="F58" s="37">
        <v>-14.221836734692999</v>
      </c>
      <c r="G58" s="37">
        <v>13.661836734693001</v>
      </c>
    </row>
    <row r="59" spans="1:24" ht="15" thickBot="1" x14ac:dyDescent="0.4">
      <c r="A59" s="38" t="s">
        <v>38</v>
      </c>
      <c r="B59" s="39">
        <v>46055.792175920004</v>
      </c>
      <c r="C59" s="34">
        <v>2800</v>
      </c>
      <c r="D59" s="35">
        <v>2733.26</v>
      </c>
      <c r="E59" s="36">
        <v>0.99495109441399998</v>
      </c>
      <c r="F59" s="37">
        <v>-55.780816326530001</v>
      </c>
      <c r="G59" s="37">
        <v>41.910816326530004</v>
      </c>
    </row>
    <row r="60" spans="1:24" ht="15" thickBot="1" x14ac:dyDescent="0.4">
      <c r="A60" s="38" t="s">
        <v>39</v>
      </c>
      <c r="B60" s="39">
        <v>46055.45024305</v>
      </c>
      <c r="C60" s="34">
        <v>600</v>
      </c>
      <c r="D60" s="35">
        <v>600.32000000000005</v>
      </c>
      <c r="E60" s="36">
        <v>0.98125173670700006</v>
      </c>
      <c r="F60" s="37">
        <v>-6.0638383838380001</v>
      </c>
      <c r="G60" s="37">
        <v>-5.4061616161610004</v>
      </c>
    </row>
    <row r="61" spans="1:24" ht="15" thickBot="1" x14ac:dyDescent="0.4">
      <c r="A61" s="38" t="s">
        <v>39</v>
      </c>
      <c r="B61" s="39">
        <v>46055.358182869997</v>
      </c>
      <c r="C61" s="34">
        <v>1200</v>
      </c>
      <c r="D61" s="35">
        <v>1263.82</v>
      </c>
      <c r="E61" s="36">
        <v>1.0003720267539999</v>
      </c>
      <c r="F61" s="37">
        <v>-12.765858585858</v>
      </c>
      <c r="G61" s="37">
        <v>13.235858585858001</v>
      </c>
    </row>
    <row r="62" spans="1:24" ht="15" thickBot="1" x14ac:dyDescent="0.4">
      <c r="A62" s="38" t="s">
        <v>39</v>
      </c>
      <c r="B62" s="39">
        <v>46055.41945601</v>
      </c>
      <c r="C62" s="34">
        <v>1200</v>
      </c>
      <c r="D62" s="35">
        <v>685.51</v>
      </c>
      <c r="E62" s="36">
        <v>0.99841246722900001</v>
      </c>
      <c r="F62" s="37">
        <v>-6.9243434343430001</v>
      </c>
      <c r="G62" s="37">
        <v>5.8343434343430003</v>
      </c>
    </row>
    <row r="63" spans="1:24" ht="15" thickBot="1" x14ac:dyDescent="0.4">
      <c r="A63" s="38"/>
      <c r="B63" s="39"/>
      <c r="C63" s="34"/>
      <c r="D63" s="35"/>
      <c r="E63" s="36"/>
      <c r="F63" s="37"/>
      <c r="G63" s="37"/>
    </row>
    <row r="64" spans="1:24" ht="15" thickBot="1" x14ac:dyDescent="0.4">
      <c r="A64" s="38"/>
      <c r="B64" s="39"/>
      <c r="C64" s="34"/>
      <c r="D64" s="35"/>
      <c r="E64" s="36"/>
      <c r="F64" s="37"/>
      <c r="G64" s="37"/>
    </row>
    <row r="65" spans="1:7" ht="15" thickBot="1" x14ac:dyDescent="0.4">
      <c r="A65" s="38"/>
      <c r="B65" s="39"/>
      <c r="C65" s="34"/>
      <c r="D65" s="35"/>
      <c r="E65" s="36"/>
      <c r="F65" s="37"/>
      <c r="G65" s="37"/>
    </row>
    <row r="66" spans="1:7" ht="15" thickBot="1" x14ac:dyDescent="0.4">
      <c r="A66" s="38"/>
      <c r="B66" s="39"/>
      <c r="C66" s="34"/>
      <c r="D66" s="35"/>
      <c r="E66" s="36"/>
      <c r="F66" s="37"/>
      <c r="G66" s="37"/>
    </row>
    <row r="67" spans="1:7" ht="15" thickBot="1" x14ac:dyDescent="0.4">
      <c r="A67" s="38"/>
      <c r="B67" s="39"/>
      <c r="C67" s="34"/>
      <c r="D67" s="40"/>
      <c r="E67" s="36"/>
      <c r="F67" s="37"/>
      <c r="G67" s="37"/>
    </row>
    <row r="68" spans="1:7" ht="15" thickBot="1" x14ac:dyDescent="0.4">
      <c r="A68" s="38"/>
      <c r="B68" s="39"/>
      <c r="C68" s="34"/>
      <c r="D68" s="35"/>
      <c r="E68" s="36"/>
      <c r="F68" s="37"/>
      <c r="G68" s="37"/>
    </row>
    <row r="69" spans="1:7" ht="15" thickBot="1" x14ac:dyDescent="0.4">
      <c r="A69" s="38"/>
      <c r="B69" s="39"/>
      <c r="C69" s="34"/>
      <c r="D69" s="40"/>
      <c r="E69" s="36"/>
      <c r="F69" s="37"/>
      <c r="G69" s="37"/>
    </row>
    <row r="70" spans="1:7" ht="15" thickBot="1" x14ac:dyDescent="0.4">
      <c r="A70" s="38"/>
      <c r="B70" s="39"/>
      <c r="C70" s="34"/>
      <c r="D70" s="35"/>
      <c r="E70" s="36"/>
      <c r="F70" s="37"/>
      <c r="G70" s="37"/>
    </row>
    <row r="71" spans="1:7" ht="15" thickBot="1" x14ac:dyDescent="0.4">
      <c r="A71" s="38"/>
      <c r="B71" s="39"/>
      <c r="C71" s="34"/>
      <c r="D71" s="35"/>
      <c r="E71" s="36"/>
      <c r="F71" s="37"/>
      <c r="G71" s="37"/>
    </row>
    <row r="72" spans="1:7" ht="15" thickBot="1" x14ac:dyDescent="0.4">
      <c r="A72" s="38"/>
      <c r="B72" s="39"/>
      <c r="C72" s="34"/>
      <c r="D72" s="35"/>
      <c r="E72" s="36"/>
      <c r="F72" s="37"/>
      <c r="G72" s="37"/>
    </row>
    <row r="73" spans="1:7" ht="15" thickBot="1" x14ac:dyDescent="0.4">
      <c r="A73" s="38"/>
      <c r="B73" s="39"/>
      <c r="C73" s="34"/>
      <c r="D73" s="35"/>
      <c r="E73" s="36"/>
      <c r="F73" s="37"/>
      <c r="G73" s="37"/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hyperlinks>
    <hyperlink ref="Q9" r:id="rId1" xr:uid="{827054E4-54F1-45C2-B81D-D4CDF997B81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2026-02-10T06:31:11Z</dcterms:modified>
  <cp:category/>
  <cp:contentStatus/>
</cp:coreProperties>
</file>