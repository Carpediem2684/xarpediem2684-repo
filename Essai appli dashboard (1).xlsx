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289" documentId="8_{9BF04A69-4985-425F-A60E-410698EC9913}" xr6:coauthVersionLast="47" xr6:coauthVersionMax="47" xr10:uidLastSave="{17A81DD9-8E54-443C-8AC7-2BBF58A2DAF8}"/>
  <bookViews>
    <workbookView xWindow="28680" yWindow="-120" windowWidth="29040" windowHeight="1572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W3" i="1" l="1" a="1"/>
  <c r="W3" i="1" s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G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<sst xmlns="http://schemas.openxmlformats.org/spreadsheetml/2006/main" count="79" uniqueCount="27">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</sst>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3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0.44444444444444442</v>
          </cell>
        </row>
        <row r="3">
          <cell r="H3">
            <v>0.35135135135135137</v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H51"/>
  <sheetViews>
    <sheetView tabSelected="1" topLeftCell="E1" workbookViewId="0">
      <selection activeCell="S12" sqref="S12"/>
    </sheetView>
  </sheetViews>
  <sheetFormatPr baseColWidth="10" defaultColWidth="11.453125" defaultRowHeight="14.5" x14ac:dyDescent="0.35"/>
  <cols>
    <col min="15" max="17" width="11.453125" customWidth="1"/>
    <col min="18" max="18" width="14.26953125" bestFit="1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</cols>
  <sheetData>
    <row r="1" spans="1:34" ht="15" thickBot="1" x14ac:dyDescent="0.4">
      <c r="Z1" s="29" t="s">
        <v>26</v>
      </c>
      <c r="AA1" s="30"/>
      <c r="AB1" s="30"/>
      <c r="AC1" s="30"/>
      <c r="AD1" s="30"/>
      <c r="AE1" s="30"/>
      <c r="AF1" s="30"/>
      <c r="AG1" s="30"/>
      <c r="AH1" s="31"/>
    </row>
    <row r="2" spans="1:34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4</v>
      </c>
      <c r="S2" s="2" t="s">
        <v>11</v>
      </c>
      <c r="T2" s="2">
        <v>63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28">
        <f>G3+H3+I3+J3+K3+L3+M3+N3</f>
        <v>385</v>
      </c>
      <c r="C3" s="3">
        <v>577</v>
      </c>
      <c r="F3" s="1" t="s">
        <v>12</v>
      </c>
      <c r="G3" s="8">
        <v>65</v>
      </c>
      <c r="H3" s="8">
        <v>39</v>
      </c>
      <c r="I3" s="8">
        <v>86</v>
      </c>
      <c r="J3" s="8">
        <v>61</v>
      </c>
      <c r="K3" s="8">
        <v>64</v>
      </c>
      <c r="L3" s="8">
        <v>22</v>
      </c>
      <c r="M3" s="8"/>
      <c r="N3" s="8">
        <v>48</v>
      </c>
      <c r="V3" s="14">
        <v>2</v>
      </c>
      <c r="W3" s="17" cm="1">
        <f t="array" ref="W3:W51">'[1]Taux d adhérence'!$H$2:$H$50</f>
        <v>0.44444444444444442</v>
      </c>
      <c r="X3" s="23">
        <v>0.85</v>
      </c>
      <c r="Z3" s="1" t="s">
        <v>12</v>
      </c>
      <c r="AA3" s="25"/>
      <c r="AB3" s="25"/>
      <c r="AC3" s="25">
        <v>52</v>
      </c>
      <c r="AD3" s="25">
        <v>126</v>
      </c>
      <c r="AE3" s="25"/>
      <c r="AF3" s="25"/>
      <c r="AG3" s="25">
        <f>'[1]Base Pic'!I2-M3</f>
        <v>30</v>
      </c>
      <c r="AH3" s="25">
        <v>5</v>
      </c>
    </row>
    <row r="4" spans="1:34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>
        <v>0.35135135135135137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4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4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4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4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4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4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4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4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4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4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4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4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Q20" s="32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Q21" s="32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Q22" s="32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8" t="str">
        <v/>
      </c>
      <c r="X27" s="23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8" t="str">
        <v/>
      </c>
      <c r="X28" s="23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8" t="str">
        <v/>
      </c>
      <c r="X29" s="23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2">
    <mergeCell ref="Z1:AH1"/>
    <mergeCell ref="Q20:Q22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2026-01-27T11:03:42Z</dcterms:modified>
  <cp:category/>
  <cp:contentStatus/>
</cp:coreProperties>
</file>